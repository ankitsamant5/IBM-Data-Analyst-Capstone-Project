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vyazindani\Downloads\UME 2701_2025_2026\"/>
    </mc:Choice>
  </mc:AlternateContent>
  <xr:revisionPtr revIDLastSave="0" documentId="13_ncr:1_{E773738D-84AC-42F7-90BB-DD130A83114D}" xr6:coauthVersionLast="47" xr6:coauthVersionMax="47" xr10:uidLastSave="{00000000-0000-0000-0000-000000000000}"/>
  <bookViews>
    <workbookView xWindow="-110" yWindow="-110" windowWidth="19420" windowHeight="11500" tabRatio="850" activeTab="4" xr2:uid="{00000000-000D-0000-FFFF-FFFF00000000}"/>
  </bookViews>
  <sheets>
    <sheet name="Control Chart Selection Process" sheetId="1" r:id="rId1"/>
    <sheet name="Table Of Control Chart Constant" sheetId="13" r:id="rId2"/>
    <sheet name="Xbar&amp;R" sheetId="4" r:id="rId3"/>
    <sheet name="Xbar&amp;s" sheetId="5" r:id="rId4"/>
    <sheet name="IXMR" sheetId="6" r:id="rId5"/>
  </sheets>
  <definedNames>
    <definedName name="_xlnm.Print_Area" localSheetId="0">'Control Chart Selection Process'!$B$1:$W$25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3" i="6" l="1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B17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R19" i="4" l="1"/>
  <c r="R26" i="5"/>
  <c r="R18" i="4"/>
  <c r="R25" i="5"/>
  <c r="C20" i="5" s="1"/>
  <c r="R14" i="6"/>
  <c r="K8" i="6" s="1"/>
  <c r="L23" i="5"/>
  <c r="F23" i="5"/>
  <c r="O22" i="5"/>
  <c r="I22" i="5"/>
  <c r="C22" i="5"/>
  <c r="K23" i="5"/>
  <c r="E23" i="5"/>
  <c r="N22" i="5"/>
  <c r="H22" i="5"/>
  <c r="B22" i="5"/>
  <c r="P23" i="5"/>
  <c r="J23" i="5"/>
  <c r="D23" i="5"/>
  <c r="M22" i="5"/>
  <c r="G22" i="5"/>
  <c r="O23" i="5"/>
  <c r="I23" i="5"/>
  <c r="C23" i="5"/>
  <c r="L22" i="5"/>
  <c r="F22" i="5"/>
  <c r="M23" i="5"/>
  <c r="D22" i="5"/>
  <c r="N23" i="5"/>
  <c r="H23" i="5"/>
  <c r="B23" i="5"/>
  <c r="K22" i="5"/>
  <c r="E22" i="5"/>
  <c r="G23" i="5"/>
  <c r="P22" i="5"/>
  <c r="J22" i="5"/>
  <c r="N15" i="4"/>
  <c r="H15" i="4"/>
  <c r="B15" i="4"/>
  <c r="M15" i="4"/>
  <c r="G15" i="4"/>
  <c r="L15" i="4"/>
  <c r="K15" i="4"/>
  <c r="E15" i="4"/>
  <c r="I15" i="4"/>
  <c r="F15" i="4"/>
  <c r="P15" i="4"/>
  <c r="J15" i="4"/>
  <c r="D15" i="4"/>
  <c r="O15" i="4"/>
  <c r="C15" i="4"/>
  <c r="K14" i="4"/>
  <c r="E14" i="4"/>
  <c r="N13" i="4"/>
  <c r="H13" i="4"/>
  <c r="B13" i="4"/>
  <c r="P14" i="4"/>
  <c r="J14" i="4"/>
  <c r="D14" i="4"/>
  <c r="M13" i="4"/>
  <c r="G13" i="4"/>
  <c r="L13" i="4"/>
  <c r="C14" i="4"/>
  <c r="N14" i="4"/>
  <c r="H14" i="4"/>
  <c r="B14" i="4"/>
  <c r="K13" i="4"/>
  <c r="E13" i="4"/>
  <c r="F14" i="4"/>
  <c r="I14" i="4"/>
  <c r="M14" i="4"/>
  <c r="G14" i="4"/>
  <c r="P13" i="4"/>
  <c r="J13" i="4"/>
  <c r="D13" i="4"/>
  <c r="L14" i="4"/>
  <c r="O13" i="4"/>
  <c r="I13" i="4"/>
  <c r="C13" i="4"/>
  <c r="O14" i="4"/>
  <c r="F13" i="4"/>
  <c r="L21" i="5"/>
  <c r="F21" i="5"/>
  <c r="O20" i="5"/>
  <c r="I20" i="5"/>
  <c r="H20" i="5"/>
  <c r="B20" i="5"/>
  <c r="E21" i="5"/>
  <c r="P21" i="5"/>
  <c r="J21" i="5"/>
  <c r="D21" i="5"/>
  <c r="M20" i="5"/>
  <c r="G20" i="5"/>
  <c r="O21" i="5"/>
  <c r="F20" i="5"/>
  <c r="P20" i="5"/>
  <c r="N21" i="5"/>
  <c r="H21" i="5"/>
  <c r="B21" i="5"/>
  <c r="K20" i="5"/>
  <c r="E20" i="5"/>
  <c r="M21" i="5"/>
  <c r="G21" i="5"/>
  <c r="D10" i="6"/>
  <c r="M9" i="6"/>
  <c r="J10" i="6"/>
  <c r="O10" i="6"/>
  <c r="O8" i="6"/>
  <c r="I8" i="6"/>
  <c r="K9" i="6"/>
  <c r="E9" i="6"/>
  <c r="F8" i="6"/>
  <c r="H9" i="6" l="1"/>
  <c r="N9" i="6"/>
  <c r="L20" i="5"/>
  <c r="N20" i="5"/>
  <c r="F10" i="6"/>
  <c r="P9" i="6"/>
  <c r="D20" i="5"/>
  <c r="C21" i="5"/>
  <c r="K21" i="5"/>
  <c r="L10" i="6"/>
  <c r="G10" i="6"/>
  <c r="J20" i="5"/>
  <c r="I21" i="5"/>
  <c r="O9" i="6"/>
  <c r="J9" i="6"/>
  <c r="N8" i="6"/>
  <c r="C8" i="6"/>
  <c r="I10" i="6"/>
  <c r="G9" i="6"/>
  <c r="B9" i="6"/>
  <c r="L8" i="6"/>
  <c r="G8" i="6"/>
  <c r="M10" i="6"/>
  <c r="B10" i="6"/>
  <c r="F9" i="6"/>
  <c r="D8" i="6"/>
  <c r="P10" i="6"/>
  <c r="E10" i="6"/>
  <c r="C9" i="6"/>
  <c r="M8" i="6"/>
  <c r="B8" i="6"/>
  <c r="H10" i="6"/>
  <c r="L9" i="6"/>
  <c r="J8" i="6"/>
  <c r="E8" i="6"/>
  <c r="K10" i="6"/>
  <c r="I9" i="6"/>
  <c r="D9" i="6"/>
  <c r="H8" i="6"/>
  <c r="N10" i="6"/>
  <c r="C10" i="6"/>
  <c r="P8" i="6"/>
</calcChain>
</file>

<file path=xl/sharedStrings.xml><?xml version="1.0" encoding="utf-8"?>
<sst xmlns="http://schemas.openxmlformats.org/spreadsheetml/2006/main" count="108" uniqueCount="90">
  <si>
    <t>Control Chart Selection Process</t>
  </si>
  <si>
    <t>Variable</t>
  </si>
  <si>
    <t>Sample Size = 1</t>
  </si>
  <si>
    <t>X-bar &amp; R</t>
  </si>
  <si>
    <t>X-bar &amp; s</t>
  </si>
  <si>
    <t>p chart</t>
  </si>
  <si>
    <t>np chart</t>
  </si>
  <si>
    <t>c chart</t>
  </si>
  <si>
    <t>u chart</t>
  </si>
  <si>
    <t>Attribute</t>
  </si>
  <si>
    <t>Type of Data</t>
  </si>
  <si>
    <t>UCL, R =
Rbar * D4</t>
  </si>
  <si>
    <t>LCL, R =
Rbar * D3</t>
  </si>
  <si>
    <t>Sample Size ≤ 8</t>
  </si>
  <si>
    <t>Sample Size ≥ 9</t>
  </si>
  <si>
    <t>LCL, X-bar =
x-bar - E2*Rbar</t>
  </si>
  <si>
    <t>UCL, MA =
D4*Rbar</t>
  </si>
  <si>
    <t>LCL, MA =
D3*Rbar</t>
  </si>
  <si>
    <t>Time</t>
  </si>
  <si>
    <t>Readings</t>
  </si>
  <si>
    <t>X-bar</t>
  </si>
  <si>
    <t>Range</t>
  </si>
  <si>
    <t>USL</t>
  </si>
  <si>
    <t>LSL</t>
  </si>
  <si>
    <t>X, UCL</t>
  </si>
  <si>
    <t>X, LCL</t>
  </si>
  <si>
    <t>R, UCL</t>
  </si>
  <si>
    <t>Rbar * D4</t>
  </si>
  <si>
    <t>R, LCL</t>
  </si>
  <si>
    <t>Rbar * D3</t>
  </si>
  <si>
    <t>X2-bar</t>
  </si>
  <si>
    <t>R-bar</t>
  </si>
  <si>
    <r>
      <t>A</t>
    </r>
    <r>
      <rPr>
        <b/>
        <vertAlign val="subscript"/>
        <sz val="10"/>
        <color theme="1"/>
        <rFont val="Calibri"/>
        <family val="2"/>
        <scheme val="minor"/>
      </rPr>
      <t>2</t>
    </r>
  </si>
  <si>
    <r>
      <t>D</t>
    </r>
    <r>
      <rPr>
        <b/>
        <vertAlign val="subscript"/>
        <sz val="10"/>
        <color theme="1"/>
        <rFont val="Calibri"/>
        <family val="2"/>
        <scheme val="minor"/>
      </rPr>
      <t>3</t>
    </r>
  </si>
  <si>
    <r>
      <t>D</t>
    </r>
    <r>
      <rPr>
        <b/>
        <vertAlign val="subscript"/>
        <sz val="10"/>
        <color theme="1"/>
        <rFont val="Calibri"/>
        <family val="2"/>
        <scheme val="minor"/>
      </rPr>
      <t>4</t>
    </r>
  </si>
  <si>
    <t>s</t>
  </si>
  <si>
    <r>
      <t>X2bar + A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*s-bar</t>
    </r>
  </si>
  <si>
    <r>
      <t>X2bar - A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*s-bar</t>
    </r>
  </si>
  <si>
    <t>s, UCL</t>
  </si>
  <si>
    <r>
      <t>s-bar * B</t>
    </r>
    <r>
      <rPr>
        <vertAlign val="subscript"/>
        <sz val="11"/>
        <color theme="1"/>
        <rFont val="Calibri"/>
        <family val="2"/>
        <scheme val="minor"/>
      </rPr>
      <t>4</t>
    </r>
  </si>
  <si>
    <t>s, LCL</t>
  </si>
  <si>
    <r>
      <t>s-bar * B</t>
    </r>
    <r>
      <rPr>
        <vertAlign val="subscript"/>
        <sz val="11"/>
        <color theme="1"/>
        <rFont val="Calibri"/>
        <family val="2"/>
        <scheme val="minor"/>
      </rPr>
      <t>3</t>
    </r>
  </si>
  <si>
    <t>s-bar</t>
  </si>
  <si>
    <r>
      <t>A</t>
    </r>
    <r>
      <rPr>
        <b/>
        <vertAlign val="subscript"/>
        <sz val="10"/>
        <color theme="1"/>
        <rFont val="Calibri"/>
        <family val="2"/>
        <scheme val="minor"/>
      </rPr>
      <t>3</t>
    </r>
  </si>
  <si>
    <r>
      <t>B</t>
    </r>
    <r>
      <rPr>
        <b/>
        <vertAlign val="subscript"/>
        <sz val="10"/>
        <color theme="1"/>
        <rFont val="Calibri"/>
        <family val="2"/>
        <scheme val="minor"/>
      </rPr>
      <t>3</t>
    </r>
  </si>
  <si>
    <r>
      <t>B</t>
    </r>
    <r>
      <rPr>
        <b/>
        <vertAlign val="subscript"/>
        <sz val="10"/>
        <color theme="1"/>
        <rFont val="Calibri"/>
        <family val="2"/>
        <scheme val="minor"/>
      </rPr>
      <t>4</t>
    </r>
  </si>
  <si>
    <r>
      <t>x-bar + E</t>
    </r>
    <r>
      <rPr>
        <vertAlign val="sub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>*Rbar</t>
    </r>
  </si>
  <si>
    <r>
      <t>x-bar - E</t>
    </r>
    <r>
      <rPr>
        <vertAlign val="subscript"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>*Rbar</t>
    </r>
  </si>
  <si>
    <t>MR, UCL</t>
  </si>
  <si>
    <r>
      <t>D</t>
    </r>
    <r>
      <rPr>
        <vertAlign val="subscript"/>
        <sz val="10"/>
        <color theme="1"/>
        <rFont val="Calibri"/>
        <family val="2"/>
        <scheme val="minor"/>
      </rPr>
      <t>4</t>
    </r>
    <r>
      <rPr>
        <sz val="10"/>
        <color theme="1"/>
        <rFont val="Calibri"/>
        <family val="2"/>
        <scheme val="minor"/>
      </rPr>
      <t>*Rbar</t>
    </r>
  </si>
  <si>
    <t>MR, LCL</t>
  </si>
  <si>
    <r>
      <t>D</t>
    </r>
    <r>
      <rPr>
        <vertAlign val="subscript"/>
        <sz val="10"/>
        <color theme="1"/>
        <rFont val="Calibri"/>
        <family val="2"/>
        <scheme val="minor"/>
      </rPr>
      <t>3</t>
    </r>
    <r>
      <rPr>
        <sz val="10"/>
        <color theme="1"/>
        <rFont val="Calibri"/>
        <family val="2"/>
        <scheme val="minor"/>
      </rPr>
      <t>*Rbar</t>
    </r>
  </si>
  <si>
    <r>
      <t>E</t>
    </r>
    <r>
      <rPr>
        <b/>
        <vertAlign val="subscript"/>
        <sz val="10"/>
        <color theme="1"/>
        <rFont val="Calibri"/>
        <family val="2"/>
        <scheme val="minor"/>
      </rPr>
      <t>2</t>
    </r>
  </si>
  <si>
    <t>Individual X &amp; MR</t>
  </si>
  <si>
    <t>Table of Control Chart Constants</t>
  </si>
  <si>
    <t>Sample Size</t>
  </si>
  <si>
    <t>A2</t>
  </si>
  <si>
    <t>A3</t>
  </si>
  <si>
    <t>D2</t>
  </si>
  <si>
    <t>D3</t>
  </si>
  <si>
    <t>D4</t>
  </si>
  <si>
    <t>B3</t>
  </si>
  <si>
    <t>B4</t>
  </si>
  <si>
    <t>E2</t>
  </si>
  <si>
    <t>UCL, X-bar =
x-bar + E2*Rbar</t>
  </si>
  <si>
    <t>% defective per lot, sample size not constant</t>
  </si>
  <si>
    <t># defective per lot, sample size constant</t>
  </si>
  <si>
    <t>Defects per single sample</t>
  </si>
  <si>
    <t>Defect per standard unit of sample</t>
  </si>
  <si>
    <t>UCL, X-bar =
X double bar + A2*Rbar</t>
  </si>
  <si>
    <t>LCL, Xbar =
X double bar - A2*R-bar</t>
  </si>
  <si>
    <t>UCL, s =
sbar * B4</t>
  </si>
  <si>
    <t>UCL, Xbar =
X double bar + A3*sbar</t>
  </si>
  <si>
    <t>LCL, Xbar =
X double bar - A3*sbar</t>
  </si>
  <si>
    <t>LCL, s =
sbar * B3</t>
  </si>
  <si>
    <t>pbar = Total defective / Total inspected</t>
  </si>
  <si>
    <t>LCL,np = n*pbar - 3*SQRT(n*pbar(1-pbar))</t>
  </si>
  <si>
    <t>UCL,np =  n*pbar + 3*SQRT(n*pbar(1-pbar))</t>
  </si>
  <si>
    <t>npbar = Total defective / # of lots inspected</t>
  </si>
  <si>
    <t>cbar = Total defects / Total Samples inspected</t>
  </si>
  <si>
    <t>ubar = Total defects / Total inspected Area</t>
  </si>
  <si>
    <t>LCL, p = pbar - 3*SQRT
(pbar*(1-pbar) / nbar)</t>
  </si>
  <si>
    <t>UCL, p = pbar + 3*SQRT
(pbar*(1-pbar) / nbar)</t>
  </si>
  <si>
    <t>LCL,c = cbar - 3*SQRT(cbar)</t>
  </si>
  <si>
    <t>UCL,c = cbar + 3*SQRT(cbar)</t>
  </si>
  <si>
    <t>LCL, u = ubar - 3*SQRT(ubar)/SQRT(n)</t>
  </si>
  <si>
    <t>UCL, u = ubar + 3*SQRT(ubar)/SQRT(n)</t>
  </si>
  <si>
    <t>X doble-bar</t>
  </si>
  <si>
    <t>X double bar + A2*Rbar</t>
  </si>
  <si>
    <t>X double bar - A2*Rbar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</si>
</sst>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vertAlign val="subscript"/>
      <sz val="10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bscript"/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u/>
      <sz val="2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2" fontId="5" fillId="0" borderId="13" xfId="0" applyNumberFormat="1" applyFont="1" applyBorder="1" applyAlignment="1">
      <alignment horizontal="center" vertical="center"/>
    </xf>
    <xf numFmtId="2" fontId="5" fillId="0" borderId="13" xfId="0" applyNumberFormat="1" applyFont="1" applyBorder="1" applyAlignment="1">
      <alignment horizontal="center"/>
    </xf>
    <xf numFmtId="2" fontId="0" fillId="0" borderId="0" xfId="0" applyNumberForma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26" xfId="0" applyBorder="1" applyAlignment="1">
      <alignment horizontal="left"/>
    </xf>
    <xf numFmtId="0" fontId="6" fillId="0" borderId="13" xfId="0" applyFont="1" applyBorder="1" applyAlignment="1">
      <alignment horizontal="center" vertical="center"/>
    </xf>
    <xf numFmtId="2" fontId="5" fillId="2" borderId="13" xfId="0" applyNumberFormat="1" applyFont="1" applyFill="1" applyBorder="1" applyAlignment="1">
      <alignment horizontal="center" vertical="center"/>
    </xf>
    <xf numFmtId="2" fontId="0" fillId="0" borderId="0" xfId="0" applyNumberFormat="1"/>
    <xf numFmtId="0" fontId="6" fillId="0" borderId="13" xfId="0" applyFont="1" applyBorder="1" applyAlignment="1">
      <alignment horizontal="center"/>
    </xf>
    <xf numFmtId="0" fontId="0" fillId="3" borderId="13" xfId="0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2" fontId="5" fillId="0" borderId="18" xfId="0" applyNumberFormat="1" applyFont="1" applyBorder="1" applyAlignment="1">
      <alignment horizontal="center" vertical="center"/>
    </xf>
    <xf numFmtId="2" fontId="5" fillId="0" borderId="19" xfId="0" applyNumberFormat="1" applyFont="1" applyBorder="1" applyAlignment="1">
      <alignment horizontal="center" vertical="center"/>
    </xf>
    <xf numFmtId="2" fontId="5" fillId="0" borderId="19" xfId="0" applyNumberFormat="1" applyFont="1" applyBorder="1" applyAlignment="1">
      <alignment horizontal="center"/>
    </xf>
    <xf numFmtId="2" fontId="5" fillId="0" borderId="20" xfId="0" applyNumberFormat="1" applyFont="1" applyBorder="1" applyAlignment="1">
      <alignment horizontal="center"/>
    </xf>
    <xf numFmtId="2" fontId="5" fillId="0" borderId="21" xfId="0" applyNumberFormat="1" applyFont="1" applyBorder="1" applyAlignment="1">
      <alignment horizontal="center" vertical="center"/>
    </xf>
    <xf numFmtId="2" fontId="5" fillId="0" borderId="22" xfId="0" applyNumberFormat="1" applyFont="1" applyBorder="1" applyAlignment="1">
      <alignment horizontal="center"/>
    </xf>
    <xf numFmtId="2" fontId="5" fillId="0" borderId="23" xfId="0" applyNumberFormat="1" applyFont="1" applyBorder="1" applyAlignment="1">
      <alignment horizontal="center" vertical="center"/>
    </xf>
    <xf numFmtId="2" fontId="5" fillId="0" borderId="24" xfId="0" applyNumberFormat="1" applyFont="1" applyBorder="1" applyAlignment="1">
      <alignment horizontal="center" vertical="center"/>
    </xf>
    <xf numFmtId="2" fontId="5" fillId="0" borderId="24" xfId="0" applyNumberFormat="1" applyFont="1" applyBorder="1" applyAlignment="1">
      <alignment horizontal="center"/>
    </xf>
    <xf numFmtId="2" fontId="5" fillId="0" borderId="25" xfId="0" applyNumberFormat="1" applyFont="1" applyBorder="1" applyAlignment="1">
      <alignment horizontal="center"/>
    </xf>
    <xf numFmtId="0" fontId="3" fillId="0" borderId="26" xfId="0" applyFont="1" applyBorder="1" applyAlignment="1">
      <alignment horizontal="center" vertical="center"/>
    </xf>
    <xf numFmtId="2" fontId="5" fillId="0" borderId="31" xfId="0" applyNumberFormat="1" applyFont="1" applyBorder="1" applyAlignment="1">
      <alignment horizontal="center" vertical="center"/>
    </xf>
    <xf numFmtId="0" fontId="0" fillId="0" borderId="32" xfId="0" applyBorder="1" applyAlignment="1">
      <alignment horizontal="left" vertical="center"/>
    </xf>
    <xf numFmtId="0" fontId="0" fillId="0" borderId="32" xfId="0" applyBorder="1" applyAlignment="1">
      <alignment horizontal="left"/>
    </xf>
    <xf numFmtId="164" fontId="5" fillId="3" borderId="13" xfId="0" applyNumberFormat="1" applyFont="1" applyFill="1" applyBorder="1" applyAlignment="1">
      <alignment horizontal="center" vertical="center"/>
    </xf>
    <xf numFmtId="0" fontId="3" fillId="4" borderId="33" xfId="0" applyFont="1" applyFill="1" applyBorder="1" applyAlignment="1">
      <alignment horizontal="center" vertical="center"/>
    </xf>
    <xf numFmtId="0" fontId="3" fillId="4" borderId="34" xfId="0" applyFont="1" applyFill="1" applyBorder="1" applyAlignment="1">
      <alignment horizontal="center" vertical="center"/>
    </xf>
    <xf numFmtId="0" fontId="3" fillId="4" borderId="35" xfId="0" applyFont="1" applyFill="1" applyBorder="1" applyAlignment="1">
      <alignment horizontal="center" vertical="center"/>
    </xf>
    <xf numFmtId="0" fontId="3" fillId="4" borderId="36" xfId="0" applyFont="1" applyFill="1" applyBorder="1" applyAlignment="1">
      <alignment horizontal="center" vertical="center"/>
    </xf>
    <xf numFmtId="0" fontId="3" fillId="4" borderId="37" xfId="0" applyFont="1" applyFill="1" applyBorder="1" applyAlignment="1">
      <alignment horizontal="center" vertical="center"/>
    </xf>
    <xf numFmtId="0" fontId="3" fillId="4" borderId="39" xfId="0" applyFont="1" applyFill="1" applyBorder="1" applyAlignment="1">
      <alignment horizontal="center" vertical="center"/>
    </xf>
    <xf numFmtId="164" fontId="0" fillId="5" borderId="11" xfId="0" applyNumberFormat="1" applyFill="1" applyBorder="1" applyAlignment="1">
      <alignment horizontal="center" vertical="center"/>
    </xf>
    <xf numFmtId="164" fontId="0" fillId="5" borderId="31" xfId="0" applyNumberFormat="1" applyFill="1" applyBorder="1" applyAlignment="1">
      <alignment horizontal="center" vertical="center"/>
    </xf>
    <xf numFmtId="164" fontId="0" fillId="5" borderId="38" xfId="0" applyNumberFormat="1" applyFill="1" applyBorder="1" applyAlignment="1">
      <alignment horizontal="center" vertical="center"/>
    </xf>
    <xf numFmtId="164" fontId="0" fillId="5" borderId="27" xfId="0" applyNumberFormat="1" applyFill="1" applyBorder="1" applyAlignment="1">
      <alignment horizontal="center" vertical="center"/>
    </xf>
    <xf numFmtId="164" fontId="0" fillId="5" borderId="13" xfId="0" applyNumberFormat="1" applyFill="1" applyBorder="1" applyAlignment="1">
      <alignment horizontal="center" vertical="center"/>
    </xf>
    <xf numFmtId="164" fontId="0" fillId="5" borderId="22" xfId="0" applyNumberFormat="1" applyFill="1" applyBorder="1" applyAlignment="1">
      <alignment horizontal="center" vertical="center"/>
    </xf>
    <xf numFmtId="164" fontId="0" fillId="5" borderId="40" xfId="0" applyNumberFormat="1" applyFill="1" applyBorder="1" applyAlignment="1">
      <alignment horizontal="center" vertical="center"/>
    </xf>
    <xf numFmtId="164" fontId="0" fillId="5" borderId="24" xfId="0" applyNumberFormat="1" applyFill="1" applyBorder="1" applyAlignment="1">
      <alignment horizontal="center" vertical="center"/>
    </xf>
    <xf numFmtId="164" fontId="0" fillId="5" borderId="25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1" xfId="0" quotePrefix="1" applyFont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 textRotation="90"/>
    </xf>
    <xf numFmtId="0" fontId="3" fillId="0" borderId="29" xfId="0" applyFont="1" applyBorder="1" applyAlignment="1">
      <alignment horizontal="center" vertical="center" textRotation="90"/>
    </xf>
    <xf numFmtId="0" fontId="3" fillId="0" borderId="30" xfId="0" applyFont="1" applyBorder="1" applyAlignment="1">
      <alignment horizontal="center" vertical="center" textRotation="90"/>
    </xf>
    <xf numFmtId="0" fontId="3" fillId="0" borderId="12" xfId="0" applyFont="1" applyBorder="1" applyAlignment="1">
      <alignment horizontal="center" vertical="center" textRotation="90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X-Bar</a:t>
            </a:r>
            <a:r>
              <a:rPr lang="en-US" baseline="0"/>
              <a:t> Control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'Xbar&amp;R'!$A$9</c:f>
              <c:strCache>
                <c:ptCount val="1"/>
                <c:pt idx="0">
                  <c:v>X-bar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'Xbar&amp;R'!$B$9:$P$9</c:f>
              <c:numCache>
                <c:formatCode>0.00</c:formatCode>
                <c:ptCount val="15"/>
                <c:pt idx="0">
                  <c:v>12.53</c:v>
                </c:pt>
                <c:pt idx="1">
                  <c:v>12.524000000000001</c:v>
                </c:pt>
                <c:pt idx="2">
                  <c:v>12.459999999999999</c:v>
                </c:pt>
                <c:pt idx="3">
                  <c:v>12.458</c:v>
                </c:pt>
                <c:pt idx="4">
                  <c:v>12.46</c:v>
                </c:pt>
                <c:pt idx="5">
                  <c:v>12.561999999999999</c:v>
                </c:pt>
                <c:pt idx="6">
                  <c:v>12.433999999999999</c:v>
                </c:pt>
                <c:pt idx="7">
                  <c:v>12.504000000000001</c:v>
                </c:pt>
                <c:pt idx="8">
                  <c:v>12.428000000000001</c:v>
                </c:pt>
                <c:pt idx="9">
                  <c:v>12.428000000000001</c:v>
                </c:pt>
                <c:pt idx="10">
                  <c:v>12.474</c:v>
                </c:pt>
                <c:pt idx="11">
                  <c:v>12.504000000000001</c:v>
                </c:pt>
                <c:pt idx="12">
                  <c:v>12.577999999999999</c:v>
                </c:pt>
                <c:pt idx="13">
                  <c:v>12.545999999999998</c:v>
                </c:pt>
                <c:pt idx="14">
                  <c:v>12.476000000000003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F7-4BF6-975B-E54A0ED91DF3}"/>
            </c:ext>
          </c:extLst>
        </c:ser>
        <c:ser>
          <c:idx val="1"/>
          <c:order val="1"/>
          <c:tx>
            <c:strRef>
              <c:f>'Xbar&amp;R'!$A$11</c:f>
              <c:strCache>
                <c:ptCount val="1"/>
                <c:pt idx="0">
                  <c:v>USL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'Xbar&amp;R'!$B$11:$P$11</c:f>
              <c:numCache>
                <c:formatCode>0.00</c:formatCode>
                <c:ptCount val="15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  <c:pt idx="10">
                  <c:v>13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F7-4BF6-975B-E54A0ED91DF3}"/>
            </c:ext>
          </c:extLst>
        </c:ser>
        <c:ser>
          <c:idx val="2"/>
          <c:order val="2"/>
          <c:tx>
            <c:strRef>
              <c:f>'Xbar&amp;R'!$A$12</c:f>
              <c:strCache>
                <c:ptCount val="1"/>
                <c:pt idx="0">
                  <c:v>LSL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'Xbar&amp;R'!$B$12:$P$12</c:f>
              <c:numCache>
                <c:formatCode>0.00</c:formatCode>
                <c:ptCount val="15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F7-4BF6-975B-E54A0ED91DF3}"/>
            </c:ext>
          </c:extLst>
        </c:ser>
        <c:ser>
          <c:idx val="3"/>
          <c:order val="3"/>
          <c:tx>
            <c:strRef>
              <c:f>'Xbar&amp;R'!$A$13</c:f>
              <c:strCache>
                <c:ptCount val="1"/>
                <c:pt idx="0">
                  <c:v>X, UCL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'Xbar&amp;R'!$B$13:$P$13</c:f>
              <c:numCache>
                <c:formatCode>0.00</c:formatCode>
                <c:ptCount val="15"/>
                <c:pt idx="0">
                  <c:v>12.634906666666666</c:v>
                </c:pt>
                <c:pt idx="1">
                  <c:v>12.634906666666666</c:v>
                </c:pt>
                <c:pt idx="2">
                  <c:v>12.634906666666666</c:v>
                </c:pt>
                <c:pt idx="3">
                  <c:v>12.634906666666666</c:v>
                </c:pt>
                <c:pt idx="4">
                  <c:v>12.634906666666666</c:v>
                </c:pt>
                <c:pt idx="5">
                  <c:v>12.634906666666666</c:v>
                </c:pt>
                <c:pt idx="6">
                  <c:v>12.634906666666666</c:v>
                </c:pt>
                <c:pt idx="7">
                  <c:v>12.634906666666666</c:v>
                </c:pt>
                <c:pt idx="8">
                  <c:v>12.634906666666666</c:v>
                </c:pt>
                <c:pt idx="9">
                  <c:v>12.634906666666666</c:v>
                </c:pt>
                <c:pt idx="10">
                  <c:v>12.634906666666666</c:v>
                </c:pt>
                <c:pt idx="11">
                  <c:v>12.634906666666666</c:v>
                </c:pt>
                <c:pt idx="12">
                  <c:v>12.634906666666666</c:v>
                </c:pt>
                <c:pt idx="13">
                  <c:v>12.634906666666666</c:v>
                </c:pt>
                <c:pt idx="14">
                  <c:v>12.634906666666666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5F7-4BF6-975B-E54A0ED91DF3}"/>
            </c:ext>
          </c:extLst>
        </c:ser>
        <c:ser>
          <c:idx val="4"/>
          <c:order val="4"/>
          <c:tx>
            <c:strRef>
              <c:f>'Xbar&amp;R'!$A$14</c:f>
              <c:strCache>
                <c:ptCount val="1"/>
                <c:pt idx="0">
                  <c:v>X, LCL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'Xbar&amp;R'!$B$14:$P$14</c:f>
              <c:numCache>
                <c:formatCode>0.00</c:formatCode>
                <c:ptCount val="15"/>
                <c:pt idx="0">
                  <c:v>12.347226666666664</c:v>
                </c:pt>
                <c:pt idx="1">
                  <c:v>12.347226666666664</c:v>
                </c:pt>
                <c:pt idx="2">
                  <c:v>12.347226666666664</c:v>
                </c:pt>
                <c:pt idx="3">
                  <c:v>12.347226666666664</c:v>
                </c:pt>
                <c:pt idx="4">
                  <c:v>12.347226666666664</c:v>
                </c:pt>
                <c:pt idx="5">
                  <c:v>12.347226666666664</c:v>
                </c:pt>
                <c:pt idx="6">
                  <c:v>12.347226666666664</c:v>
                </c:pt>
                <c:pt idx="7">
                  <c:v>12.347226666666664</c:v>
                </c:pt>
                <c:pt idx="8">
                  <c:v>12.347226666666664</c:v>
                </c:pt>
                <c:pt idx="9">
                  <c:v>12.347226666666664</c:v>
                </c:pt>
                <c:pt idx="10">
                  <c:v>12.347226666666664</c:v>
                </c:pt>
                <c:pt idx="11">
                  <c:v>12.347226666666664</c:v>
                </c:pt>
                <c:pt idx="12">
                  <c:v>12.347226666666664</c:v>
                </c:pt>
                <c:pt idx="13">
                  <c:v>12.347226666666664</c:v>
                </c:pt>
                <c:pt idx="14">
                  <c:v>12.347226666666664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5F7-4BF6-975B-E54A0ED91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2150271"/>
        <c:axId val="1650461343"/>
      </c:lineChart>
      <c:catAx>
        <c:axId val="13621502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461343"/>
        <c:crosses val="autoZero"/>
        <c:auto val="1"/>
        <c:lblAlgn val="ctr"/>
        <c:lblOffset val="100"/>
        <c:noMultiLvlLbl val="0"/>
      </c:catAx>
      <c:valAx>
        <c:axId val="165046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150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</a:t>
            </a:r>
            <a:r>
              <a:rPr lang="en-US" baseline="0"/>
              <a:t> Control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'Xbar&amp;R'!$A$10</c:f>
              <c:strCache>
                <c:ptCount val="1"/>
                <c:pt idx="0">
                  <c:v>Range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'Xbar&amp;R'!$B$10:$P$10</c:f>
              <c:numCache>
                <c:formatCode>0.00</c:formatCode>
                <c:ptCount val="15"/>
                <c:pt idx="0">
                  <c:v>0.26999999999999957</c:v>
                </c:pt>
                <c:pt idx="1">
                  <c:v>0.34999999999999964</c:v>
                </c:pt>
                <c:pt idx="2">
                  <c:v>0.21999999999999886</c:v>
                </c:pt>
                <c:pt idx="3">
                  <c:v>0.20000000000000107</c:v>
                </c:pt>
                <c:pt idx="4">
                  <c:v>0.17999999999999972</c:v>
                </c:pt>
                <c:pt idx="5">
                  <c:v>0.25999999999999979</c:v>
                </c:pt>
                <c:pt idx="6">
                  <c:v>0.29000000000000092</c:v>
                </c:pt>
                <c:pt idx="7">
                  <c:v>0.33999999999999986</c:v>
                </c:pt>
                <c:pt idx="8">
                  <c:v>0.25</c:v>
                </c:pt>
                <c:pt idx="9">
                  <c:v>0.34000000000000163</c:v>
                </c:pt>
                <c:pt idx="10">
                  <c:v>0.16999999999999993</c:v>
                </c:pt>
                <c:pt idx="11">
                  <c:v>0.20000000000000107</c:v>
                </c:pt>
                <c:pt idx="12">
                  <c:v>0.21000000000000085</c:v>
                </c:pt>
                <c:pt idx="13">
                  <c:v>0.29000000000000092</c:v>
                </c:pt>
                <c:pt idx="14">
                  <c:v>0.15000000000000036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30-4630-8DA1-22A20014DAC2}"/>
            </c:ext>
          </c:extLst>
        </c:ser>
        <c:ser>
          <c:idx val="1"/>
          <c:order val="1"/>
          <c:tx>
            <c:strRef>
              <c:f>'Xbar&amp;R'!$A$15</c:f>
              <c:strCache>
                <c:ptCount val="1"/>
                <c:pt idx="0">
                  <c:v>R, UCL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'Xbar&amp;R'!$B$15:$P$15</c:f>
              <c:numCache>
                <c:formatCode>0.00</c:formatCode>
                <c:ptCount val="15"/>
                <c:pt idx="0">
                  <c:v>0.52328000000000052</c:v>
                </c:pt>
                <c:pt idx="1">
                  <c:v>0.52328000000000052</c:v>
                </c:pt>
                <c:pt idx="2">
                  <c:v>0.52328000000000052</c:v>
                </c:pt>
                <c:pt idx="3">
                  <c:v>0.52328000000000052</c:v>
                </c:pt>
                <c:pt idx="4">
                  <c:v>0.52328000000000052</c:v>
                </c:pt>
                <c:pt idx="5">
                  <c:v>0.52328000000000052</c:v>
                </c:pt>
                <c:pt idx="6">
                  <c:v>0.52328000000000052</c:v>
                </c:pt>
                <c:pt idx="7">
                  <c:v>0.52328000000000052</c:v>
                </c:pt>
                <c:pt idx="8">
                  <c:v>0.52328000000000052</c:v>
                </c:pt>
                <c:pt idx="9">
                  <c:v>0.52328000000000052</c:v>
                </c:pt>
                <c:pt idx="10">
                  <c:v>0.52328000000000052</c:v>
                </c:pt>
                <c:pt idx="11">
                  <c:v>0.52328000000000052</c:v>
                </c:pt>
                <c:pt idx="12">
                  <c:v>0.52328000000000052</c:v>
                </c:pt>
                <c:pt idx="13">
                  <c:v>0.52328000000000052</c:v>
                </c:pt>
                <c:pt idx="14">
                  <c:v>0.52328000000000052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30-4630-8DA1-22A20014DAC2}"/>
            </c:ext>
          </c:extLst>
        </c:ser>
        <c:ser>
          <c:idx val="2"/>
          <c:order val="2"/>
          <c:tx>
            <c:strRef>
              <c:f>'Xbar&amp;R'!$A$16</c:f>
              <c:strCache>
                <c:ptCount val="1"/>
                <c:pt idx="0">
                  <c:v>R, LCL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'Xbar&amp;R'!$B$16:$P$16</c:f>
              <c:numCache>
                <c:formatCode>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30-4630-8DA1-22A20014D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3349087"/>
        <c:axId val="1774707743"/>
      </c:lineChart>
      <c:catAx>
        <c:axId val="18633490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707743"/>
        <c:crosses val="autoZero"/>
        <c:auto val="1"/>
        <c:lblAlgn val="ctr"/>
        <c:lblOffset val="100"/>
        <c:noMultiLvlLbl val="0"/>
      </c:catAx>
      <c:valAx>
        <c:axId val="1774707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349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x-bar</a:t>
            </a:r>
            <a:r>
              <a:rPr lang="en-US" baseline="0"/>
              <a:t>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'Xbar&amp;s'!$A$16</c:f>
              <c:strCache>
                <c:ptCount val="1"/>
                <c:pt idx="0">
                  <c:v>X-bar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'Xbar&amp;s'!$B$16:$P$16</c:f>
              <c:numCache>
                <c:formatCode>0.00</c:formatCode>
                <c:ptCount val="15"/>
                <c:pt idx="0">
                  <c:v>12.541600451115483</c:v>
                </c:pt>
                <c:pt idx="1">
                  <c:v>12.526599213381596</c:v>
                </c:pt>
                <c:pt idx="2">
                  <c:v>12.513425370521327</c:v>
                </c:pt>
                <c:pt idx="3">
                  <c:v>12.496397347154549</c:v>
                </c:pt>
                <c:pt idx="4">
                  <c:v>12.469889229073852</c:v>
                </c:pt>
                <c:pt idx="5">
                  <c:v>12.545778646882246</c:v>
                </c:pt>
                <c:pt idx="6">
                  <c:v>12.462135658910931</c:v>
                </c:pt>
                <c:pt idx="7">
                  <c:v>12.509332705611051</c:v>
                </c:pt>
                <c:pt idx="8">
                  <c:v>12.475125827821453</c:v>
                </c:pt>
                <c:pt idx="9">
                  <c:v>12.512229999053234</c:v>
                </c:pt>
                <c:pt idx="10">
                  <c:v>12.464702471848577</c:v>
                </c:pt>
                <c:pt idx="11">
                  <c:v>12.506703163160601</c:v>
                </c:pt>
                <c:pt idx="12">
                  <c:v>12.540357717794953</c:v>
                </c:pt>
                <c:pt idx="13">
                  <c:v>12.504469078808784</c:v>
                </c:pt>
                <c:pt idx="14">
                  <c:v>12.464028240027716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D6-46D7-87C4-0688E56E7AA5}"/>
            </c:ext>
          </c:extLst>
        </c:ser>
        <c:ser>
          <c:idx val="1"/>
          <c:order val="1"/>
          <c:tx>
            <c:strRef>
              <c:f>'Xbar&amp;s'!$A$18</c:f>
              <c:strCache>
                <c:ptCount val="1"/>
                <c:pt idx="0">
                  <c:v>USL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'Xbar&amp;s'!$B$18:$P$18</c:f>
              <c:numCache>
                <c:formatCode>0.00</c:formatCode>
                <c:ptCount val="15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  <c:pt idx="10">
                  <c:v>13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D6-46D7-87C4-0688E56E7AA5}"/>
            </c:ext>
          </c:extLst>
        </c:ser>
        <c:ser>
          <c:idx val="2"/>
          <c:order val="2"/>
          <c:tx>
            <c:strRef>
              <c:f>'Xbar&amp;s'!$A$19</c:f>
              <c:strCache>
                <c:ptCount val="1"/>
                <c:pt idx="0">
                  <c:v>LSL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'Xbar&amp;s'!$B$19:$P$19</c:f>
              <c:numCache>
                <c:formatCode>0.00</c:formatCode>
                <c:ptCount val="15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D6-46D7-87C4-0688E56E7AA5}"/>
            </c:ext>
          </c:extLst>
        </c:ser>
        <c:ser>
          <c:idx val="3"/>
          <c:order val="3"/>
          <c:tx>
            <c:strRef>
              <c:f>'Xbar&amp;s'!$A$20</c:f>
              <c:strCache>
                <c:ptCount val="1"/>
                <c:pt idx="0">
                  <c:v>X, UCL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'Xbar&amp;s'!$B$20:$P$20</c:f>
              <c:numCache>
                <c:formatCode>0.00</c:formatCode>
                <c:ptCount val="15"/>
                <c:pt idx="0">
                  <c:v>12.592981524619201</c:v>
                </c:pt>
                <c:pt idx="1">
                  <c:v>12.592981524619201</c:v>
                </c:pt>
                <c:pt idx="2">
                  <c:v>12.592981524619201</c:v>
                </c:pt>
                <c:pt idx="3">
                  <c:v>12.592981524619201</c:v>
                </c:pt>
                <c:pt idx="4">
                  <c:v>12.592981524619201</c:v>
                </c:pt>
                <c:pt idx="5">
                  <c:v>12.592981524619201</c:v>
                </c:pt>
                <c:pt idx="6">
                  <c:v>12.592981524619201</c:v>
                </c:pt>
                <c:pt idx="7">
                  <c:v>12.592981524619201</c:v>
                </c:pt>
                <c:pt idx="8">
                  <c:v>12.592981524619201</c:v>
                </c:pt>
                <c:pt idx="9">
                  <c:v>12.592981524619201</c:v>
                </c:pt>
                <c:pt idx="10">
                  <c:v>12.592981524619201</c:v>
                </c:pt>
                <c:pt idx="11">
                  <c:v>12.592981524619201</c:v>
                </c:pt>
                <c:pt idx="12">
                  <c:v>12.592981524619201</c:v>
                </c:pt>
                <c:pt idx="13">
                  <c:v>12.592981524619201</c:v>
                </c:pt>
                <c:pt idx="14">
                  <c:v>12.592981524619201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AD6-46D7-87C4-0688E56E7AA5}"/>
            </c:ext>
          </c:extLst>
        </c:ser>
        <c:ser>
          <c:idx val="4"/>
          <c:order val="4"/>
          <c:tx>
            <c:strRef>
              <c:f>'Xbar&amp;s'!$A$21</c:f>
              <c:strCache>
                <c:ptCount val="1"/>
                <c:pt idx="0">
                  <c:v>X, LCL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'Xbar&amp;s'!$B$21:$P$21</c:f>
              <c:numCache>
                <c:formatCode>0.00</c:formatCode>
                <c:ptCount val="15"/>
                <c:pt idx="0">
                  <c:v>12.411388491536318</c:v>
                </c:pt>
                <c:pt idx="1">
                  <c:v>12.411388491536318</c:v>
                </c:pt>
                <c:pt idx="2">
                  <c:v>12.411388491536318</c:v>
                </c:pt>
                <c:pt idx="3">
                  <c:v>12.411388491536318</c:v>
                </c:pt>
                <c:pt idx="4">
                  <c:v>12.411388491536318</c:v>
                </c:pt>
                <c:pt idx="5">
                  <c:v>12.411388491536318</c:v>
                </c:pt>
                <c:pt idx="6">
                  <c:v>12.411388491536318</c:v>
                </c:pt>
                <c:pt idx="7">
                  <c:v>12.411388491536318</c:v>
                </c:pt>
                <c:pt idx="8">
                  <c:v>12.411388491536318</c:v>
                </c:pt>
                <c:pt idx="9">
                  <c:v>12.411388491536318</c:v>
                </c:pt>
                <c:pt idx="10">
                  <c:v>12.411388491536318</c:v>
                </c:pt>
                <c:pt idx="11">
                  <c:v>12.411388491536318</c:v>
                </c:pt>
                <c:pt idx="12">
                  <c:v>12.411388491536318</c:v>
                </c:pt>
                <c:pt idx="13">
                  <c:v>12.411388491536318</c:v>
                </c:pt>
                <c:pt idx="14">
                  <c:v>12.411388491536318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AD6-46D7-87C4-0688E56E7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2656767"/>
        <c:axId val="1650449695"/>
      </c:lineChart>
      <c:catAx>
        <c:axId val="18526567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449695"/>
        <c:crosses val="autoZero"/>
        <c:auto val="1"/>
        <c:lblAlgn val="ctr"/>
        <c:lblOffset val="100"/>
        <c:noMultiLvlLbl val="0"/>
      </c:catAx>
      <c:valAx>
        <c:axId val="165044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656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</a:t>
            </a:r>
            <a:r>
              <a:rPr lang="en-US" baseline="0"/>
              <a:t>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'Xbar&amp;s'!$A$17</c:f>
              <c:strCache>
                <c:ptCount val="1"/>
                <c:pt idx="0">
                  <c:v>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'Xbar&amp;s'!$B$17:$P$17</c:f>
              <c:numCache>
                <c:formatCode>0.00</c:formatCode>
                <c:ptCount val="15"/>
                <c:pt idx="0">
                  <c:v>8.6444724379556609E-2</c:v>
                </c:pt>
                <c:pt idx="1">
                  <c:v>0.10409999357316939</c:v>
                </c:pt>
                <c:pt idx="2">
                  <c:v>0.12733573798425191</c:v>
                </c:pt>
                <c:pt idx="3">
                  <c:v>8.3474349325343727E-2</c:v>
                </c:pt>
                <c:pt idx="4">
                  <c:v>0.12077653333464396</c:v>
                </c:pt>
                <c:pt idx="5">
                  <c:v>8.9351087755478759E-2</c:v>
                </c:pt>
                <c:pt idx="6">
                  <c:v>9.1729942462611805E-2</c:v>
                </c:pt>
                <c:pt idx="7">
                  <c:v>0.14117315774867656</c:v>
                </c:pt>
                <c:pt idx="8">
                  <c:v>0.13065153741113189</c:v>
                </c:pt>
                <c:pt idx="9">
                  <c:v>0.12800244403593788</c:v>
                </c:pt>
                <c:pt idx="10">
                  <c:v>6.6738215951626809E-2</c:v>
                </c:pt>
                <c:pt idx="11">
                  <c:v>0.10773793894421235</c:v>
                </c:pt>
                <c:pt idx="12">
                  <c:v>7.8024514649401022E-2</c:v>
                </c:pt>
                <c:pt idx="13">
                  <c:v>8.0510422410327603E-2</c:v>
                </c:pt>
                <c:pt idx="14">
                  <c:v>9.4227768709600396E-2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B0-4C7E-BF18-511AFC1EED0A}"/>
            </c:ext>
          </c:extLst>
        </c:ser>
        <c:ser>
          <c:idx val="1"/>
          <c:order val="1"/>
          <c:tx>
            <c:strRef>
              <c:f>'Xbar&amp;s'!$A$22</c:f>
              <c:strCache>
                <c:ptCount val="1"/>
                <c:pt idx="0">
                  <c:v>s, UCL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'Xbar&amp;s'!$B$22:$P$22</c:f>
              <c:numCache>
                <c:formatCode>0.00</c:formatCode>
                <c:ptCount val="15"/>
                <c:pt idx="0">
                  <c:v>0.16833062055435677</c:v>
                </c:pt>
                <c:pt idx="1">
                  <c:v>0.16833062055435677</c:v>
                </c:pt>
                <c:pt idx="2">
                  <c:v>0.16833062055435677</c:v>
                </c:pt>
                <c:pt idx="3">
                  <c:v>0.16833062055435677</c:v>
                </c:pt>
                <c:pt idx="4">
                  <c:v>0.16833062055435677</c:v>
                </c:pt>
                <c:pt idx="5">
                  <c:v>0.16833062055435677</c:v>
                </c:pt>
                <c:pt idx="6">
                  <c:v>0.16833062055435677</c:v>
                </c:pt>
                <c:pt idx="7">
                  <c:v>0.16833062055435677</c:v>
                </c:pt>
                <c:pt idx="8">
                  <c:v>0.16833062055435677</c:v>
                </c:pt>
                <c:pt idx="9">
                  <c:v>0.16833062055435677</c:v>
                </c:pt>
                <c:pt idx="10">
                  <c:v>0.16833062055435677</c:v>
                </c:pt>
                <c:pt idx="11">
                  <c:v>0.16833062055435677</c:v>
                </c:pt>
                <c:pt idx="12">
                  <c:v>0.16833062055435677</c:v>
                </c:pt>
                <c:pt idx="13">
                  <c:v>0.16833062055435677</c:v>
                </c:pt>
                <c:pt idx="14">
                  <c:v>0.16833062055435677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B0-4C7E-BF18-511AFC1EED0A}"/>
            </c:ext>
          </c:extLst>
        </c:ser>
        <c:ser>
          <c:idx val="2"/>
          <c:order val="2"/>
          <c:tx>
            <c:strRef>
              <c:f>'Xbar&amp;s'!$A$23</c:f>
              <c:strCache>
                <c:ptCount val="1"/>
                <c:pt idx="0">
                  <c:v>s, LCL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'Xbar&amp;s'!$B$23:$P$23</c:f>
              <c:numCache>
                <c:formatCode>0.00</c:formatCode>
                <c:ptCount val="15"/>
                <c:pt idx="0">
                  <c:v>3.5706495269105978E-2</c:v>
                </c:pt>
                <c:pt idx="1">
                  <c:v>3.5706495269105978E-2</c:v>
                </c:pt>
                <c:pt idx="2">
                  <c:v>3.5706495269105978E-2</c:v>
                </c:pt>
                <c:pt idx="3">
                  <c:v>3.5706495269105978E-2</c:v>
                </c:pt>
                <c:pt idx="4">
                  <c:v>3.5706495269105978E-2</c:v>
                </c:pt>
                <c:pt idx="5">
                  <c:v>3.5706495269105978E-2</c:v>
                </c:pt>
                <c:pt idx="6">
                  <c:v>3.5706495269105978E-2</c:v>
                </c:pt>
                <c:pt idx="7">
                  <c:v>3.5706495269105978E-2</c:v>
                </c:pt>
                <c:pt idx="8">
                  <c:v>3.5706495269105978E-2</c:v>
                </c:pt>
                <c:pt idx="9">
                  <c:v>3.5706495269105978E-2</c:v>
                </c:pt>
                <c:pt idx="10">
                  <c:v>3.5706495269105978E-2</c:v>
                </c:pt>
                <c:pt idx="11">
                  <c:v>3.5706495269105978E-2</c:v>
                </c:pt>
                <c:pt idx="12">
                  <c:v>3.5706495269105978E-2</c:v>
                </c:pt>
                <c:pt idx="13">
                  <c:v>3.5706495269105978E-2</c:v>
                </c:pt>
                <c:pt idx="14">
                  <c:v>3.5706495269105978E-2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B0-4C7E-BF18-511AFC1EE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87539711"/>
        <c:axId val="1990438175"/>
      </c:lineChart>
      <c:catAx>
        <c:axId val="19875397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0438175"/>
        <c:crosses val="autoZero"/>
        <c:auto val="1"/>
        <c:lblAlgn val="ctr"/>
        <c:lblOffset val="100"/>
        <c:noMultiLvlLbl val="0"/>
      </c:catAx>
      <c:valAx>
        <c:axId val="199043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7539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IX</a:t>
            </a:r>
            <a:r>
              <a:rPr lang="en-US" baseline="0"/>
              <a:t>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IXMR!$A$4</c:f>
              <c:strCache>
                <c:ptCount val="1"/>
                <c:pt idx="0">
                  <c:v>Readings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IXMR!$B$4:$P$4</c:f>
              <c:numCache>
                <c:formatCode>0.00</c:formatCode>
                <c:ptCount val="15"/>
                <c:pt idx="0">
                  <c:v>12.6</c:v>
                </c:pt>
                <c:pt idx="1">
                  <c:v>12.69</c:v>
                </c:pt>
                <c:pt idx="2">
                  <c:v>12.43</c:v>
                </c:pt>
                <c:pt idx="3">
                  <c:v>12.51</c:v>
                </c:pt>
                <c:pt idx="4">
                  <c:v>12.38</c:v>
                </c:pt>
                <c:pt idx="5">
                  <c:v>12.68</c:v>
                </c:pt>
                <c:pt idx="6">
                  <c:v>12.29</c:v>
                </c:pt>
                <c:pt idx="7">
                  <c:v>12.69</c:v>
                </c:pt>
                <c:pt idx="8">
                  <c:v>12.34</c:v>
                </c:pt>
                <c:pt idx="9">
                  <c:v>12.29</c:v>
                </c:pt>
                <c:pt idx="10">
                  <c:v>12.5</c:v>
                </c:pt>
                <c:pt idx="11">
                  <c:v>12.44</c:v>
                </c:pt>
                <c:pt idx="12">
                  <c:v>12.66</c:v>
                </c:pt>
                <c:pt idx="13">
                  <c:v>12.54</c:v>
                </c:pt>
                <c:pt idx="14">
                  <c:v>12.4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C3-4B98-953A-C336825F072E}"/>
            </c:ext>
          </c:extLst>
        </c:ser>
        <c:ser>
          <c:idx val="1"/>
          <c:order val="1"/>
          <c:tx>
            <c:strRef>
              <c:f>IXMR!$A$6</c:f>
              <c:strCache>
                <c:ptCount val="1"/>
                <c:pt idx="0">
                  <c:v>USL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IXMR!$B$6:$P$6</c:f>
              <c:numCache>
                <c:formatCode>0.00</c:formatCode>
                <c:ptCount val="15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  <c:pt idx="10">
                  <c:v>13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C3-4B98-953A-C336825F072E}"/>
            </c:ext>
          </c:extLst>
        </c:ser>
        <c:ser>
          <c:idx val="2"/>
          <c:order val="2"/>
          <c:tx>
            <c:strRef>
              <c:f>IXMR!$A$7</c:f>
              <c:strCache>
                <c:ptCount val="1"/>
                <c:pt idx="0">
                  <c:v>LSL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IXMR!$B$7:$P$7</c:f>
              <c:numCache>
                <c:formatCode>0.00</c:formatCode>
                <c:ptCount val="15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C3-4B98-953A-C336825F072E}"/>
            </c:ext>
          </c:extLst>
        </c:ser>
        <c:ser>
          <c:idx val="3"/>
          <c:order val="3"/>
          <c:tx>
            <c:strRef>
              <c:f>IXMR!$A$8</c:f>
              <c:strCache>
                <c:ptCount val="1"/>
                <c:pt idx="0">
                  <c:v>X, UCL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IXMR!$B$8:$P$8</c:f>
              <c:numCache>
                <c:formatCode>0.00</c:formatCode>
                <c:ptCount val="15"/>
                <c:pt idx="0">
                  <c:v>13.027999999999999</c:v>
                </c:pt>
                <c:pt idx="1">
                  <c:v>13.027999999999999</c:v>
                </c:pt>
                <c:pt idx="2">
                  <c:v>13.027999999999999</c:v>
                </c:pt>
                <c:pt idx="3">
                  <c:v>13.027999999999999</c:v>
                </c:pt>
                <c:pt idx="4">
                  <c:v>13.027999999999999</c:v>
                </c:pt>
                <c:pt idx="5">
                  <c:v>13.027999999999999</c:v>
                </c:pt>
                <c:pt idx="6">
                  <c:v>13.027999999999999</c:v>
                </c:pt>
                <c:pt idx="7">
                  <c:v>13.027999999999999</c:v>
                </c:pt>
                <c:pt idx="8">
                  <c:v>13.027999999999999</c:v>
                </c:pt>
                <c:pt idx="9">
                  <c:v>13.027999999999999</c:v>
                </c:pt>
                <c:pt idx="10">
                  <c:v>13.027999999999999</c:v>
                </c:pt>
                <c:pt idx="11">
                  <c:v>13.027999999999999</c:v>
                </c:pt>
                <c:pt idx="12">
                  <c:v>13.027999999999999</c:v>
                </c:pt>
                <c:pt idx="13">
                  <c:v>13.027999999999999</c:v>
                </c:pt>
                <c:pt idx="14">
                  <c:v>13.027999999999999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7C3-4B98-953A-C336825F072E}"/>
            </c:ext>
          </c:extLst>
        </c:ser>
        <c:ser>
          <c:idx val="4"/>
          <c:order val="4"/>
          <c:tx>
            <c:strRef>
              <c:f>IXMR!$A$9</c:f>
              <c:strCache>
                <c:ptCount val="1"/>
                <c:pt idx="0">
                  <c:v>X, LCL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IXMR!$B$9:$P$9</c:f>
              <c:numCache>
                <c:formatCode>0.00</c:formatCode>
                <c:ptCount val="15"/>
                <c:pt idx="0">
                  <c:v>11.963999999999999</c:v>
                </c:pt>
                <c:pt idx="1">
                  <c:v>11.963999999999999</c:v>
                </c:pt>
                <c:pt idx="2">
                  <c:v>11.963999999999999</c:v>
                </c:pt>
                <c:pt idx="3">
                  <c:v>11.963999999999999</c:v>
                </c:pt>
                <c:pt idx="4">
                  <c:v>11.963999999999999</c:v>
                </c:pt>
                <c:pt idx="5">
                  <c:v>11.963999999999999</c:v>
                </c:pt>
                <c:pt idx="6">
                  <c:v>11.963999999999999</c:v>
                </c:pt>
                <c:pt idx="7">
                  <c:v>11.963999999999999</c:v>
                </c:pt>
                <c:pt idx="8">
                  <c:v>11.963999999999999</c:v>
                </c:pt>
                <c:pt idx="9">
                  <c:v>11.963999999999999</c:v>
                </c:pt>
                <c:pt idx="10">
                  <c:v>11.963999999999999</c:v>
                </c:pt>
                <c:pt idx="11">
                  <c:v>11.963999999999999</c:v>
                </c:pt>
                <c:pt idx="12">
                  <c:v>11.963999999999999</c:v>
                </c:pt>
                <c:pt idx="13">
                  <c:v>11.963999999999999</c:v>
                </c:pt>
                <c:pt idx="14">
                  <c:v>11.963999999999999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7C3-4B98-953A-C336825F0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6205024"/>
        <c:axId val="60360608"/>
      </c:lineChart>
      <c:catAx>
        <c:axId val="2762050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60608"/>
        <c:crosses val="autoZero"/>
        <c:auto val="1"/>
        <c:lblAlgn val="ctr"/>
        <c:lblOffset val="100"/>
        <c:noMultiLvlLbl val="0"/>
      </c:catAx>
      <c:valAx>
        <c:axId val="6036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20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MR</a:t>
            </a:r>
            <a:r>
              <a:rPr lang="en-US" baseline="0"/>
              <a:t>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IXMR!$A$5</c:f>
              <c:strCache>
                <c:ptCount val="1"/>
                <c:pt idx="0">
                  <c:v>Range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IXMR!$B$5:$P$5</c:f>
              <c:numCache>
                <c:formatCode>0.00</c:formatCode>
                <c:ptCount val="15"/>
                <c:pt idx="1">
                  <c:v>8.9999999999999858E-2</c:v>
                </c:pt>
                <c:pt idx="2">
                  <c:v>0.25999999999999979</c:v>
                </c:pt>
                <c:pt idx="3">
                  <c:v>8.0000000000000071E-2</c:v>
                </c:pt>
                <c:pt idx="4">
                  <c:v>0.12999999999999901</c:v>
                </c:pt>
                <c:pt idx="5">
                  <c:v>0.29999999999999893</c:v>
                </c:pt>
                <c:pt idx="6">
                  <c:v>0.39000000000000057</c:v>
                </c:pt>
                <c:pt idx="7">
                  <c:v>0.40000000000000036</c:v>
                </c:pt>
                <c:pt idx="8">
                  <c:v>0.34999999999999964</c:v>
                </c:pt>
                <c:pt idx="9">
                  <c:v>5.0000000000000711E-2</c:v>
                </c:pt>
                <c:pt idx="10">
                  <c:v>0.21000000000000085</c:v>
                </c:pt>
                <c:pt idx="11">
                  <c:v>6.0000000000000497E-2</c:v>
                </c:pt>
                <c:pt idx="12">
                  <c:v>0.22000000000000064</c:v>
                </c:pt>
                <c:pt idx="13">
                  <c:v>0.12000000000000099</c:v>
                </c:pt>
                <c:pt idx="14">
                  <c:v>0.13999999999999879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B7-4327-8E4F-78736160E709}"/>
            </c:ext>
          </c:extLst>
        </c:ser>
        <c:ser>
          <c:idx val="1"/>
          <c:order val="1"/>
          <c:tx>
            <c:strRef>
              <c:f>IXMR!$A$10</c:f>
              <c:strCache>
                <c:ptCount val="1"/>
                <c:pt idx="0">
                  <c:v>MR, UCL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IXMR!$B$10:$P$10</c:f>
              <c:numCache>
                <c:formatCode>0.00</c:formatCode>
                <c:ptCount val="15"/>
                <c:pt idx="0">
                  <c:v>0.65340000000000009</c:v>
                </c:pt>
                <c:pt idx="1">
                  <c:v>0.65340000000000009</c:v>
                </c:pt>
                <c:pt idx="2">
                  <c:v>0.65340000000000009</c:v>
                </c:pt>
                <c:pt idx="3">
                  <c:v>0.65340000000000009</c:v>
                </c:pt>
                <c:pt idx="4">
                  <c:v>0.65340000000000009</c:v>
                </c:pt>
                <c:pt idx="5">
                  <c:v>0.65340000000000009</c:v>
                </c:pt>
                <c:pt idx="6">
                  <c:v>0.65340000000000009</c:v>
                </c:pt>
                <c:pt idx="7">
                  <c:v>0.65340000000000009</c:v>
                </c:pt>
                <c:pt idx="8">
                  <c:v>0.65340000000000009</c:v>
                </c:pt>
                <c:pt idx="9">
                  <c:v>0.65340000000000009</c:v>
                </c:pt>
                <c:pt idx="10">
                  <c:v>0.65340000000000009</c:v>
                </c:pt>
                <c:pt idx="11">
                  <c:v>0.65340000000000009</c:v>
                </c:pt>
                <c:pt idx="12">
                  <c:v>0.65340000000000009</c:v>
                </c:pt>
                <c:pt idx="13">
                  <c:v>0.65340000000000009</c:v>
                </c:pt>
                <c:pt idx="14">
                  <c:v>0.65340000000000009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B7-4327-8E4F-78736160E709}"/>
            </c:ext>
          </c:extLst>
        </c:ser>
        <c:ser>
          <c:idx val="2"/>
          <c:order val="2"/>
          <c:tx>
            <c:strRef>
              <c:f>IXMR!$A$11</c:f>
              <c:strCache>
                <c:ptCount val="1"/>
                <c:pt idx="0">
                  <c:v>MR, LCL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IXMR!$B$11:$P$11</c:f>
              <c:numCache>
                <c:formatCode>0.00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B7-4327-8E4F-78736160E7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4317120"/>
        <c:axId val="317116496"/>
      </c:lineChart>
      <c:catAx>
        <c:axId val="4443171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116496"/>
        <c:crosses val="autoZero"/>
        <c:auto val="1"/>
        <c:lblAlgn val="ctr"/>
        <c:lblOffset val="100"/>
        <c:noMultiLvlLbl val="0"/>
      </c:catAx>
      <c:valAx>
        <c:axId val="31711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31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30378</xdr:rowOff>
    </xdr:from>
    <xdr:to>
      <xdr:col>15</xdr:col>
      <xdr:colOff>333376</xdr:colOff>
      <xdr:row>31</xdr:row>
      <xdr:rowOff>106578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A84A16-9761-469B-ABE7-6F9D9DD4FB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68034</xdr:colOff>
      <xdr:row>30</xdr:row>
      <xdr:rowOff>148997</xdr:rowOff>
    </xdr:from>
    <xdr:to>
      <xdr:col>15</xdr:col>
      <xdr:colOff>357186</xdr:colOff>
      <xdr:row>45</xdr:row>
      <xdr:rowOff>34697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DB2EA1-6B59-4B1B-9129-79859451F5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23</xdr:row>
      <xdr:rowOff>69573</xdr:rowOff>
    </xdr:from>
    <xdr:to>
      <xdr:col>15</xdr:col>
      <xdr:colOff>323022</xdr:colOff>
      <xdr:row>37</xdr:row>
      <xdr:rowOff>145773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75FF7D-B8C7-4E9D-87B1-7DEBE876C9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33130</xdr:colOff>
      <xdr:row>38</xdr:row>
      <xdr:rowOff>11596</xdr:rowOff>
    </xdr:from>
    <xdr:to>
      <xdr:col>15</xdr:col>
      <xdr:colOff>281608</xdr:colOff>
      <xdr:row>52</xdr:row>
      <xdr:rowOff>87796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3106F7-4166-498B-82D8-D5E16FA46C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11</xdr:row>
      <xdr:rowOff>76200</xdr:rowOff>
    </xdr:from>
    <xdr:to>
      <xdr:col>15</xdr:col>
      <xdr:colOff>355600</xdr:colOff>
      <xdr:row>25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5FED1F-D8C4-4B01-A463-12316E302E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32970</xdr:colOff>
      <xdr:row>25</xdr:row>
      <xdr:rowOff>174382</xdr:rowOff>
    </xdr:from>
    <xdr:to>
      <xdr:col>15</xdr:col>
      <xdr:colOff>322385</xdr:colOff>
      <xdr:row>40</xdr:row>
      <xdr:rowOff>60082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A5B178-38FC-4023-ACAC-623225E491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W36"/>
  <sheetViews>
    <sheetView workbookViewId="0">
      <selection activeCell="V23" sqref="V23"/>
    </sheetView>
  </sheetViews>
  <sheetFormatPr defaultColWidth="9.1796875" defaultRowHeight="18.5" x14ac:dyDescent="0.35"/>
  <cols>
    <col min="1" max="1" width="5.7265625" style="1" customWidth="1"/>
    <col min="2" max="3" width="9.7265625" style="1" customWidth="1"/>
    <col min="4" max="4" width="4.7265625" style="1" customWidth="1"/>
    <col min="5" max="6" width="9.7265625" style="1" customWidth="1"/>
    <col min="7" max="7" width="4.7265625" style="1" customWidth="1"/>
    <col min="8" max="9" width="9.7265625" style="1" customWidth="1"/>
    <col min="10" max="10" width="9.1796875" style="1"/>
    <col min="11" max="12" width="9.7265625" style="1" customWidth="1"/>
    <col min="13" max="13" width="4.7265625" style="1" customWidth="1"/>
    <col min="14" max="14" width="9.7265625" style="1" customWidth="1"/>
    <col min="15" max="16" width="5" style="1" customWidth="1"/>
    <col min="17" max="17" width="4.7265625" style="1" customWidth="1"/>
    <col min="18" max="19" width="5" style="1" customWidth="1"/>
    <col min="20" max="20" width="9.1796875" style="1"/>
    <col min="21" max="21" width="4.7265625" style="1" customWidth="1"/>
    <col min="22" max="23" width="9.7265625" style="1" customWidth="1"/>
    <col min="24" max="16384" width="9.1796875" style="1"/>
  </cols>
  <sheetData>
    <row r="1" spans="2:23" ht="31" x14ac:dyDescent="0.35">
      <c r="B1" s="68" t="s">
        <v>0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</row>
    <row r="2" spans="2:23" ht="12.75" customHeight="1" thickBot="1" x14ac:dyDescent="0.4"/>
    <row r="3" spans="2:23" x14ac:dyDescent="0.35">
      <c r="J3" s="62" t="s">
        <v>10</v>
      </c>
      <c r="K3" s="63"/>
    </row>
    <row r="4" spans="2:23" ht="19" thickBot="1" x14ac:dyDescent="0.4">
      <c r="J4" s="64"/>
      <c r="K4" s="65"/>
    </row>
    <row r="5" spans="2:23" x14ac:dyDescent="0.35">
      <c r="F5" s="3"/>
      <c r="G5" s="3"/>
      <c r="H5" s="3"/>
      <c r="I5" s="3"/>
      <c r="J5" s="9"/>
      <c r="K5" s="3"/>
      <c r="L5" s="3"/>
      <c r="M5" s="3"/>
      <c r="N5" s="3"/>
      <c r="O5" s="3"/>
      <c r="P5" s="3"/>
    </row>
    <row r="6" spans="2:23" ht="19" thickBot="1" x14ac:dyDescent="0.4">
      <c r="F6" s="2"/>
      <c r="Q6" s="2"/>
    </row>
    <row r="7" spans="2:23" x14ac:dyDescent="0.35">
      <c r="E7" s="62" t="s">
        <v>1</v>
      </c>
      <c r="F7" s="63"/>
      <c r="O7" s="62" t="s">
        <v>9</v>
      </c>
      <c r="P7" s="66"/>
      <c r="Q7" s="66"/>
      <c r="R7" s="63"/>
    </row>
    <row r="8" spans="2:23" ht="19" thickBot="1" x14ac:dyDescent="0.4">
      <c r="E8" s="64"/>
      <c r="F8" s="65"/>
      <c r="O8" s="64"/>
      <c r="P8" s="67"/>
      <c r="Q8" s="67"/>
      <c r="R8" s="65"/>
    </row>
    <row r="9" spans="2:23" s="4" customFormat="1" ht="13" x14ac:dyDescent="0.35">
      <c r="C9" s="5"/>
      <c r="D9" s="5"/>
      <c r="E9" s="6"/>
      <c r="F9" s="5"/>
      <c r="G9" s="5"/>
      <c r="H9" s="5"/>
      <c r="L9" s="5"/>
      <c r="M9" s="5"/>
      <c r="N9" s="5"/>
      <c r="O9" s="5"/>
      <c r="P9" s="5"/>
      <c r="Q9" s="10"/>
      <c r="R9" s="5"/>
      <c r="S9" s="5"/>
      <c r="T9" s="5"/>
      <c r="U9" s="5"/>
      <c r="V9" s="5"/>
    </row>
    <row r="10" spans="2:23" s="4" customFormat="1" ht="13.5" thickBot="1" x14ac:dyDescent="0.4">
      <c r="C10" s="7"/>
      <c r="F10" s="7"/>
      <c r="I10" s="7"/>
      <c r="L10" s="7"/>
      <c r="O10" s="7"/>
      <c r="T10" s="7"/>
      <c r="W10" s="7"/>
    </row>
    <row r="11" spans="2:23" s="4" customFormat="1" ht="19" customHeight="1" x14ac:dyDescent="0.35">
      <c r="B11" s="58" t="s">
        <v>2</v>
      </c>
      <c r="C11" s="59"/>
      <c r="E11" s="58" t="s">
        <v>13</v>
      </c>
      <c r="F11" s="59"/>
      <c r="H11" s="58" t="s">
        <v>14</v>
      </c>
      <c r="I11" s="59"/>
      <c r="K11" s="77" t="s">
        <v>65</v>
      </c>
      <c r="L11" s="79"/>
      <c r="N11" s="77" t="s">
        <v>66</v>
      </c>
      <c r="O11" s="78"/>
      <c r="P11" s="79"/>
      <c r="R11" s="77" t="s">
        <v>67</v>
      </c>
      <c r="S11" s="78"/>
      <c r="T11" s="79"/>
      <c r="V11" s="77" t="s">
        <v>68</v>
      </c>
      <c r="W11" s="79"/>
    </row>
    <row r="12" spans="2:23" s="4" customFormat="1" ht="19" customHeight="1" thickBot="1" x14ac:dyDescent="0.4">
      <c r="B12" s="60"/>
      <c r="C12" s="61"/>
      <c r="E12" s="60"/>
      <c r="F12" s="61"/>
      <c r="H12" s="60"/>
      <c r="I12" s="61"/>
      <c r="K12" s="80"/>
      <c r="L12" s="82"/>
      <c r="N12" s="80"/>
      <c r="O12" s="81"/>
      <c r="P12" s="82"/>
      <c r="R12" s="80"/>
      <c r="S12" s="81"/>
      <c r="T12" s="82"/>
      <c r="V12" s="80"/>
      <c r="W12" s="82"/>
    </row>
    <row r="13" spans="2:23" s="4" customFormat="1" ht="13.5" thickBot="1" x14ac:dyDescent="0.4">
      <c r="C13" s="8"/>
      <c r="F13" s="8"/>
      <c r="I13" s="8"/>
      <c r="L13" s="8"/>
      <c r="O13" s="8"/>
      <c r="T13" s="8"/>
      <c r="W13" s="8"/>
    </row>
    <row r="14" spans="2:23" s="4" customFormat="1" ht="19" customHeight="1" x14ac:dyDescent="0.35">
      <c r="B14" s="58" t="s">
        <v>53</v>
      </c>
      <c r="C14" s="59"/>
      <c r="E14" s="58" t="s">
        <v>3</v>
      </c>
      <c r="F14" s="59"/>
      <c r="H14" s="58" t="s">
        <v>4</v>
      </c>
      <c r="I14" s="59"/>
      <c r="K14" s="58" t="s">
        <v>5</v>
      </c>
      <c r="L14" s="59"/>
      <c r="N14" s="58" t="s">
        <v>6</v>
      </c>
      <c r="O14" s="75"/>
      <c r="P14" s="59"/>
      <c r="R14" s="58" t="s">
        <v>7</v>
      </c>
      <c r="S14" s="75"/>
      <c r="T14" s="59"/>
      <c r="V14" s="58" t="s">
        <v>8</v>
      </c>
      <c r="W14" s="59"/>
    </row>
    <row r="15" spans="2:23" s="4" customFormat="1" ht="19" customHeight="1" thickBot="1" x14ac:dyDescent="0.4">
      <c r="B15" s="60"/>
      <c r="C15" s="61"/>
      <c r="E15" s="60"/>
      <c r="F15" s="61"/>
      <c r="H15" s="60"/>
      <c r="I15" s="61"/>
      <c r="K15" s="60"/>
      <c r="L15" s="61"/>
      <c r="N15" s="60"/>
      <c r="O15" s="76"/>
      <c r="P15" s="61"/>
      <c r="R15" s="60"/>
      <c r="S15" s="76"/>
      <c r="T15" s="61"/>
      <c r="V15" s="60"/>
      <c r="W15" s="61"/>
    </row>
    <row r="16" spans="2:23" s="4" customFormat="1" ht="13.5" thickBot="1" x14ac:dyDescent="0.4"/>
    <row r="17" spans="2:23" s="4" customFormat="1" ht="19" customHeight="1" x14ac:dyDescent="0.35">
      <c r="B17" s="83" t="s">
        <v>64</v>
      </c>
      <c r="C17" s="84"/>
      <c r="E17" s="83" t="s">
        <v>69</v>
      </c>
      <c r="F17" s="84"/>
      <c r="H17" s="83" t="s">
        <v>72</v>
      </c>
      <c r="I17" s="84"/>
      <c r="K17" s="83" t="s">
        <v>75</v>
      </c>
      <c r="L17" s="84"/>
      <c r="N17" s="91" t="s">
        <v>78</v>
      </c>
      <c r="O17" s="92"/>
      <c r="P17" s="93"/>
      <c r="R17" s="91" t="s">
        <v>79</v>
      </c>
      <c r="S17" s="92"/>
      <c r="T17" s="93"/>
      <c r="V17" s="83" t="s">
        <v>80</v>
      </c>
      <c r="W17" s="97"/>
    </row>
    <row r="18" spans="2:23" s="4" customFormat="1" ht="19" customHeight="1" x14ac:dyDescent="0.35">
      <c r="B18" s="73"/>
      <c r="C18" s="74"/>
      <c r="E18" s="73"/>
      <c r="F18" s="74"/>
      <c r="H18" s="73"/>
      <c r="I18" s="74"/>
      <c r="K18" s="73"/>
      <c r="L18" s="74"/>
      <c r="N18" s="85"/>
      <c r="O18" s="86"/>
      <c r="P18" s="87"/>
      <c r="R18" s="85"/>
      <c r="S18" s="86"/>
      <c r="T18" s="87"/>
      <c r="V18" s="95"/>
      <c r="W18" s="96"/>
    </row>
    <row r="19" spans="2:23" s="4" customFormat="1" ht="19" customHeight="1" x14ac:dyDescent="0.35">
      <c r="B19" s="69" t="s">
        <v>15</v>
      </c>
      <c r="C19" s="70"/>
      <c r="E19" s="69" t="s">
        <v>70</v>
      </c>
      <c r="F19" s="70"/>
      <c r="H19" s="69" t="s">
        <v>73</v>
      </c>
      <c r="I19" s="70"/>
      <c r="K19" s="69" t="s">
        <v>81</v>
      </c>
      <c r="L19" s="94"/>
      <c r="N19" s="85" t="s">
        <v>76</v>
      </c>
      <c r="O19" s="86"/>
      <c r="P19" s="87"/>
      <c r="R19" s="85" t="s">
        <v>83</v>
      </c>
      <c r="S19" s="86"/>
      <c r="T19" s="87"/>
      <c r="V19" s="69" t="s">
        <v>85</v>
      </c>
      <c r="W19" s="94"/>
    </row>
    <row r="20" spans="2:23" s="4" customFormat="1" ht="19" customHeight="1" x14ac:dyDescent="0.35">
      <c r="B20" s="73"/>
      <c r="C20" s="74"/>
      <c r="E20" s="73"/>
      <c r="F20" s="74"/>
      <c r="H20" s="73"/>
      <c r="I20" s="74"/>
      <c r="K20" s="95"/>
      <c r="L20" s="96"/>
      <c r="N20" s="85"/>
      <c r="O20" s="86"/>
      <c r="P20" s="87"/>
      <c r="R20" s="85"/>
      <c r="S20" s="86"/>
      <c r="T20" s="87"/>
      <c r="V20" s="95"/>
      <c r="W20" s="96"/>
    </row>
    <row r="21" spans="2:23" s="4" customFormat="1" ht="19" customHeight="1" x14ac:dyDescent="0.35">
      <c r="B21" s="69" t="s">
        <v>16</v>
      </c>
      <c r="C21" s="70"/>
      <c r="E21" s="69" t="s">
        <v>11</v>
      </c>
      <c r="F21" s="70"/>
      <c r="H21" s="69" t="s">
        <v>71</v>
      </c>
      <c r="I21" s="70"/>
      <c r="K21" s="69" t="s">
        <v>82</v>
      </c>
      <c r="L21" s="70"/>
      <c r="N21" s="85" t="s">
        <v>77</v>
      </c>
      <c r="O21" s="86"/>
      <c r="P21" s="87"/>
      <c r="R21" s="100" t="s">
        <v>84</v>
      </c>
      <c r="S21" s="86"/>
      <c r="T21" s="87"/>
      <c r="V21" s="69" t="s">
        <v>86</v>
      </c>
      <c r="W21" s="94"/>
    </row>
    <row r="22" spans="2:23" s="4" customFormat="1" ht="19" customHeight="1" thickBot="1" x14ac:dyDescent="0.4">
      <c r="B22" s="73"/>
      <c r="C22" s="74"/>
      <c r="E22" s="73"/>
      <c r="F22" s="74"/>
      <c r="H22" s="73"/>
      <c r="I22" s="74"/>
      <c r="K22" s="71"/>
      <c r="L22" s="72"/>
      <c r="N22" s="88"/>
      <c r="O22" s="89"/>
      <c r="P22" s="90"/>
      <c r="R22" s="88"/>
      <c r="S22" s="89"/>
      <c r="T22" s="90"/>
      <c r="V22" s="98"/>
      <c r="W22" s="99"/>
    </row>
    <row r="23" spans="2:23" s="4" customFormat="1" ht="19" customHeight="1" x14ac:dyDescent="0.35">
      <c r="B23" s="69" t="s">
        <v>17</v>
      </c>
      <c r="C23" s="70"/>
      <c r="E23" s="69" t="s">
        <v>12</v>
      </c>
      <c r="F23" s="70"/>
      <c r="H23" s="69" t="s">
        <v>74</v>
      </c>
      <c r="I23" s="70"/>
    </row>
    <row r="24" spans="2:23" s="4" customFormat="1" ht="19" customHeight="1" thickBot="1" x14ac:dyDescent="0.4">
      <c r="B24" s="71"/>
      <c r="C24" s="72"/>
      <c r="E24" s="71"/>
      <c r="F24" s="72"/>
      <c r="H24" s="71"/>
      <c r="I24" s="72"/>
    </row>
    <row r="25" spans="2:23" s="4" customFormat="1" ht="12.75" customHeight="1" x14ac:dyDescent="0.35"/>
    <row r="26" spans="2:23" s="4" customFormat="1" ht="12.75" customHeight="1" x14ac:dyDescent="0.35"/>
    <row r="27" spans="2:23" s="4" customFormat="1" ht="12.75" customHeight="1" x14ac:dyDescent="0.35"/>
    <row r="28" spans="2:23" ht="12.75" customHeight="1" x14ac:dyDescent="0.35"/>
    <row r="29" spans="2:23" ht="12.75" customHeight="1" x14ac:dyDescent="0.35"/>
    <row r="30" spans="2:23" ht="12.75" customHeight="1" x14ac:dyDescent="0.35"/>
    <row r="31" spans="2:23" ht="12.75" customHeight="1" x14ac:dyDescent="0.35"/>
    <row r="32" spans="2:23" ht="12.75" customHeight="1" x14ac:dyDescent="0.35"/>
    <row r="33" ht="12.75" customHeight="1" x14ac:dyDescent="0.35"/>
    <row r="34" ht="12.75" customHeight="1" x14ac:dyDescent="0.35"/>
    <row r="35" ht="12.75" customHeight="1" x14ac:dyDescent="0.35"/>
    <row r="36" ht="12.75" customHeight="1" x14ac:dyDescent="0.35"/>
  </sheetData>
  <mergeCells count="42">
    <mergeCell ref="V17:W18"/>
    <mergeCell ref="V19:W20"/>
    <mergeCell ref="V21:W22"/>
    <mergeCell ref="R21:T22"/>
    <mergeCell ref="R19:T20"/>
    <mergeCell ref="R17:T18"/>
    <mergeCell ref="E23:F24"/>
    <mergeCell ref="N21:P22"/>
    <mergeCell ref="N19:P20"/>
    <mergeCell ref="N17:P18"/>
    <mergeCell ref="H17:I18"/>
    <mergeCell ref="H19:I20"/>
    <mergeCell ref="H21:I22"/>
    <mergeCell ref="K17:L18"/>
    <mergeCell ref="K19:L20"/>
    <mergeCell ref="K21:L22"/>
    <mergeCell ref="B19:C20"/>
    <mergeCell ref="B17:C18"/>
    <mergeCell ref="E17:F18"/>
    <mergeCell ref="E19:F20"/>
    <mergeCell ref="E21:F22"/>
    <mergeCell ref="B1:W1"/>
    <mergeCell ref="B23:C24"/>
    <mergeCell ref="B21:C22"/>
    <mergeCell ref="N14:P15"/>
    <mergeCell ref="R14:T15"/>
    <mergeCell ref="V14:W15"/>
    <mergeCell ref="N11:P12"/>
    <mergeCell ref="R11:T12"/>
    <mergeCell ref="V11:W12"/>
    <mergeCell ref="B14:C15"/>
    <mergeCell ref="E14:F15"/>
    <mergeCell ref="H14:I15"/>
    <mergeCell ref="K11:L12"/>
    <mergeCell ref="K14:L15"/>
    <mergeCell ref="E7:F8"/>
    <mergeCell ref="H23:I24"/>
    <mergeCell ref="E11:F12"/>
    <mergeCell ref="B11:C12"/>
    <mergeCell ref="H11:I12"/>
    <mergeCell ref="J3:K4"/>
    <mergeCell ref="O7:R8"/>
  </mergeCells>
  <printOptions horizontalCentered="1"/>
  <pageMargins left="0.25" right="0.25" top="0.75" bottom="0.75" header="0.3" footer="0.3"/>
  <pageSetup scale="79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5186A-5183-4FAF-8A8A-A6D9F97AA6D0}">
  <dimension ref="B1:J18"/>
  <sheetViews>
    <sheetView zoomScale="110" zoomScaleNormal="110" workbookViewId="0">
      <selection activeCell="K13" sqref="K13"/>
    </sheetView>
  </sheetViews>
  <sheetFormatPr defaultColWidth="9.1796875" defaultRowHeight="14.5" x14ac:dyDescent="0.35"/>
  <cols>
    <col min="1" max="1" width="3.1796875" style="18" customWidth="1"/>
    <col min="2" max="10" width="13.453125" style="18" customWidth="1"/>
    <col min="11" max="12" width="19.1796875" style="18" customWidth="1"/>
    <col min="13" max="16384" width="9.1796875" style="18"/>
  </cols>
  <sheetData>
    <row r="1" spans="2:10" ht="15" thickBot="1" x14ac:dyDescent="0.4"/>
    <row r="2" spans="2:10" x14ac:dyDescent="0.35">
      <c r="B2" s="101" t="s">
        <v>54</v>
      </c>
      <c r="C2" s="102"/>
      <c r="D2" s="102"/>
      <c r="E2" s="102"/>
      <c r="F2" s="102"/>
      <c r="G2" s="102"/>
      <c r="H2" s="102"/>
      <c r="I2" s="102"/>
      <c r="J2" s="103"/>
    </row>
    <row r="3" spans="2:10" ht="15" thickBot="1" x14ac:dyDescent="0.4">
      <c r="B3" s="104"/>
      <c r="C3" s="105"/>
      <c r="D3" s="105"/>
      <c r="E3" s="105"/>
      <c r="F3" s="105"/>
      <c r="G3" s="105"/>
      <c r="H3" s="105"/>
      <c r="I3" s="105"/>
      <c r="J3" s="106"/>
    </row>
    <row r="4" spans="2:10" ht="15" thickBot="1" x14ac:dyDescent="0.4">
      <c r="B4" s="43" t="s">
        <v>55</v>
      </c>
      <c r="C4" s="44" t="s">
        <v>56</v>
      </c>
      <c r="D4" s="45" t="s">
        <v>57</v>
      </c>
      <c r="E4" s="45" t="s">
        <v>58</v>
      </c>
      <c r="F4" s="45" t="s">
        <v>59</v>
      </c>
      <c r="G4" s="45" t="s">
        <v>60</v>
      </c>
      <c r="H4" s="45" t="s">
        <v>61</v>
      </c>
      <c r="I4" s="45" t="s">
        <v>62</v>
      </c>
      <c r="J4" s="46" t="s">
        <v>63</v>
      </c>
    </row>
    <row r="5" spans="2:10" x14ac:dyDescent="0.35">
      <c r="B5" s="47">
        <v>2</v>
      </c>
      <c r="C5" s="49">
        <v>1.88</v>
      </c>
      <c r="D5" s="50">
        <v>2.6589999999999998</v>
      </c>
      <c r="E5" s="50">
        <v>1.1279999999999999</v>
      </c>
      <c r="F5" s="50">
        <v>0</v>
      </c>
      <c r="G5" s="50">
        <v>3.2669999999999999</v>
      </c>
      <c r="H5" s="50">
        <v>0</v>
      </c>
      <c r="I5" s="50">
        <v>3.2669999999999999</v>
      </c>
      <c r="J5" s="51">
        <v>2.66</v>
      </c>
    </row>
    <row r="6" spans="2:10" x14ac:dyDescent="0.35">
      <c r="B6" s="47">
        <v>3</v>
      </c>
      <c r="C6" s="52">
        <v>1.0229999999999999</v>
      </c>
      <c r="D6" s="53">
        <v>1.954</v>
      </c>
      <c r="E6" s="53">
        <v>1.6930000000000001</v>
      </c>
      <c r="F6" s="53">
        <v>0</v>
      </c>
      <c r="G6" s="53">
        <v>2.5739999999999998</v>
      </c>
      <c r="H6" s="53">
        <v>0</v>
      </c>
      <c r="I6" s="53">
        <v>2.5680000000000001</v>
      </c>
      <c r="J6" s="54">
        <v>1.772</v>
      </c>
    </row>
    <row r="7" spans="2:10" x14ac:dyDescent="0.35">
      <c r="B7" s="47">
        <v>4</v>
      </c>
      <c r="C7" s="52">
        <v>0.72899999999999998</v>
      </c>
      <c r="D7" s="53">
        <v>1.6279999999999999</v>
      </c>
      <c r="E7" s="53">
        <v>2.0590000000000002</v>
      </c>
      <c r="F7" s="53">
        <v>0</v>
      </c>
      <c r="G7" s="53">
        <v>2.282</v>
      </c>
      <c r="H7" s="53">
        <v>0</v>
      </c>
      <c r="I7" s="53">
        <v>2.266</v>
      </c>
      <c r="J7" s="54">
        <v>1.4570000000000001</v>
      </c>
    </row>
    <row r="8" spans="2:10" x14ac:dyDescent="0.35">
      <c r="B8" s="47">
        <v>5</v>
      </c>
      <c r="C8" s="52">
        <v>0.57699999999999996</v>
      </c>
      <c r="D8" s="53">
        <v>1.427</v>
      </c>
      <c r="E8" s="53">
        <v>2.3260000000000001</v>
      </c>
      <c r="F8" s="53">
        <v>0</v>
      </c>
      <c r="G8" s="53">
        <v>2.1139999999999999</v>
      </c>
      <c r="H8" s="53">
        <v>0</v>
      </c>
      <c r="I8" s="53">
        <v>2.089</v>
      </c>
      <c r="J8" s="54">
        <v>1.29</v>
      </c>
    </row>
    <row r="9" spans="2:10" x14ac:dyDescent="0.35">
      <c r="B9" s="47">
        <v>6</v>
      </c>
      <c r="C9" s="52">
        <v>0.48299999999999998</v>
      </c>
      <c r="D9" s="53">
        <v>1.2869999999999999</v>
      </c>
      <c r="E9" s="53">
        <v>2.5339999999999998</v>
      </c>
      <c r="F9" s="53">
        <v>0</v>
      </c>
      <c r="G9" s="53">
        <v>2.004</v>
      </c>
      <c r="H9" s="53">
        <v>0.03</v>
      </c>
      <c r="I9" s="53">
        <v>1.97</v>
      </c>
      <c r="J9" s="54">
        <v>1.1839999999999999</v>
      </c>
    </row>
    <row r="10" spans="2:10" x14ac:dyDescent="0.35">
      <c r="B10" s="47">
        <v>7</v>
      </c>
      <c r="C10" s="52">
        <v>0.41899999999999998</v>
      </c>
      <c r="D10" s="53">
        <v>1.1819999999999999</v>
      </c>
      <c r="E10" s="53">
        <v>2.7040000000000002</v>
      </c>
      <c r="F10" s="53">
        <v>7.5999999999999998E-2</v>
      </c>
      <c r="G10" s="53">
        <v>1.9239999999999999</v>
      </c>
      <c r="H10" s="53">
        <v>0.11799999999999999</v>
      </c>
      <c r="I10" s="53">
        <v>1.8819999999999999</v>
      </c>
      <c r="J10" s="54">
        <v>1.109</v>
      </c>
    </row>
    <row r="11" spans="2:10" x14ac:dyDescent="0.35">
      <c r="B11" s="47">
        <v>8</v>
      </c>
      <c r="C11" s="52">
        <v>0.373</v>
      </c>
      <c r="D11" s="53">
        <v>1.099</v>
      </c>
      <c r="E11" s="53">
        <v>2.847</v>
      </c>
      <c r="F11" s="53">
        <v>0.13600000000000001</v>
      </c>
      <c r="G11" s="53">
        <v>1.8640000000000001</v>
      </c>
      <c r="H11" s="53">
        <v>0.185</v>
      </c>
      <c r="I11" s="53">
        <v>1.8149999999999999</v>
      </c>
      <c r="J11" s="54">
        <v>1.054</v>
      </c>
    </row>
    <row r="12" spans="2:10" x14ac:dyDescent="0.35">
      <c r="B12" s="47">
        <v>9</v>
      </c>
      <c r="C12" s="52">
        <v>0.33700000000000002</v>
      </c>
      <c r="D12" s="53">
        <v>1.032</v>
      </c>
      <c r="E12" s="53">
        <v>2.97</v>
      </c>
      <c r="F12" s="53">
        <v>0.184</v>
      </c>
      <c r="G12" s="53">
        <v>1.8160000000000001</v>
      </c>
      <c r="H12" s="53">
        <v>0.23899999999999999</v>
      </c>
      <c r="I12" s="53">
        <v>1.7609999999999999</v>
      </c>
      <c r="J12" s="54">
        <v>1.01</v>
      </c>
    </row>
    <row r="13" spans="2:10" x14ac:dyDescent="0.35">
      <c r="B13" s="47">
        <v>10</v>
      </c>
      <c r="C13" s="52">
        <v>0.308</v>
      </c>
      <c r="D13" s="53">
        <v>0.97499999999999998</v>
      </c>
      <c r="E13" s="53">
        <v>3.0779999999999998</v>
      </c>
      <c r="F13" s="53">
        <v>0.223</v>
      </c>
      <c r="G13" s="53">
        <v>1.7769999999999999</v>
      </c>
      <c r="H13" s="53">
        <v>0.28399999999999997</v>
      </c>
      <c r="I13" s="53">
        <v>1.716</v>
      </c>
      <c r="J13" s="54">
        <v>0.97499999999999998</v>
      </c>
    </row>
    <row r="14" spans="2:10" x14ac:dyDescent="0.35">
      <c r="B14" s="47">
        <v>11</v>
      </c>
      <c r="C14" s="52">
        <v>0.28499999999999998</v>
      </c>
      <c r="D14" s="53">
        <v>0.92700000000000005</v>
      </c>
      <c r="E14" s="53">
        <v>3.173</v>
      </c>
      <c r="F14" s="53">
        <v>0.25600000000000001</v>
      </c>
      <c r="G14" s="53">
        <v>1.744</v>
      </c>
      <c r="H14" s="53">
        <v>0.32100000000000001</v>
      </c>
      <c r="I14" s="53">
        <v>1.679</v>
      </c>
      <c r="J14" s="54">
        <v>0.94499999999999995</v>
      </c>
    </row>
    <row r="15" spans="2:10" x14ac:dyDescent="0.35">
      <c r="B15" s="47">
        <v>12</v>
      </c>
      <c r="C15" s="52">
        <v>0.26600000000000001</v>
      </c>
      <c r="D15" s="53">
        <v>0.88600000000000001</v>
      </c>
      <c r="E15" s="53">
        <v>3.258</v>
      </c>
      <c r="F15" s="53">
        <v>0.28299999999999997</v>
      </c>
      <c r="G15" s="53">
        <v>1.7170000000000001</v>
      </c>
      <c r="H15" s="53">
        <v>0.35399999999999998</v>
      </c>
      <c r="I15" s="53">
        <v>1.6459999999999999</v>
      </c>
      <c r="J15" s="54">
        <v>0.92100000000000004</v>
      </c>
    </row>
    <row r="16" spans="2:10" x14ac:dyDescent="0.35">
      <c r="B16" s="47">
        <v>13</v>
      </c>
      <c r="C16" s="52">
        <v>0.249</v>
      </c>
      <c r="D16" s="53">
        <v>0.85</v>
      </c>
      <c r="E16" s="53">
        <v>3.3359999999999999</v>
      </c>
      <c r="F16" s="53">
        <v>0.307</v>
      </c>
      <c r="G16" s="53">
        <v>1.6930000000000001</v>
      </c>
      <c r="H16" s="53">
        <v>0.38200000000000001</v>
      </c>
      <c r="I16" s="53">
        <v>1.6180000000000001</v>
      </c>
      <c r="J16" s="54">
        <v>0.89900000000000002</v>
      </c>
    </row>
    <row r="17" spans="2:10" x14ac:dyDescent="0.35">
      <c r="B17" s="47">
        <v>14</v>
      </c>
      <c r="C17" s="52">
        <v>0.23499999999999999</v>
      </c>
      <c r="D17" s="53">
        <v>0.81699999999999995</v>
      </c>
      <c r="E17" s="53">
        <v>3.407</v>
      </c>
      <c r="F17" s="53">
        <v>0.32800000000000001</v>
      </c>
      <c r="G17" s="53">
        <v>1.6719999999999999</v>
      </c>
      <c r="H17" s="53">
        <v>0.40600000000000003</v>
      </c>
      <c r="I17" s="53">
        <v>1.5940000000000001</v>
      </c>
      <c r="J17" s="54">
        <v>0.88100000000000001</v>
      </c>
    </row>
    <row r="18" spans="2:10" ht="15" thickBot="1" x14ac:dyDescent="0.4">
      <c r="B18" s="48">
        <v>15</v>
      </c>
      <c r="C18" s="55">
        <v>0.223</v>
      </c>
      <c r="D18" s="56">
        <v>0.78900000000000003</v>
      </c>
      <c r="E18" s="56">
        <v>3.472</v>
      </c>
      <c r="F18" s="56">
        <v>0.34699999999999998</v>
      </c>
      <c r="G18" s="56">
        <v>1.653</v>
      </c>
      <c r="H18" s="56">
        <v>0.42799999999999999</v>
      </c>
      <c r="I18" s="56">
        <v>1.5720000000000001</v>
      </c>
      <c r="J18" s="57">
        <v>0.86399999999999999</v>
      </c>
    </row>
  </sheetData>
  <mergeCells count="1">
    <mergeCell ref="B2:J3"/>
  </mergeCells>
  <printOptions horizontalCentered="1"/>
  <pageMargins left="0.25" right="0.25" top="0.75" bottom="0.75" header="0.3" footer="0.3"/>
  <pageSetup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35615-4B74-41CA-A240-16B05E400CFF}">
  <sheetPr>
    <pageSetUpPr fitToPage="1"/>
  </sheetPr>
  <dimension ref="A2:U27"/>
  <sheetViews>
    <sheetView zoomScale="115" zoomScaleNormal="115" workbookViewId="0">
      <selection activeCell="B13" sqref="B13"/>
    </sheetView>
  </sheetViews>
  <sheetFormatPr defaultRowHeight="14.5" x14ac:dyDescent="0.35"/>
  <cols>
    <col min="2" max="16" width="5.7265625" customWidth="1"/>
    <col min="17" max="17" width="14.7265625" bestFit="1" customWidth="1"/>
    <col min="18" max="18" width="15.26953125" style="13" customWidth="1"/>
    <col min="19" max="33" width="5.7265625" customWidth="1"/>
  </cols>
  <sheetData>
    <row r="2" spans="1:21" x14ac:dyDescent="0.35">
      <c r="A2" s="11" t="s">
        <v>18</v>
      </c>
      <c r="B2" s="12">
        <v>1</v>
      </c>
      <c r="C2" s="12">
        <v>2</v>
      </c>
      <c r="D2" s="12">
        <v>3</v>
      </c>
      <c r="E2" s="12">
        <v>4</v>
      </c>
      <c r="F2" s="12">
        <v>5</v>
      </c>
      <c r="G2" s="12">
        <v>6</v>
      </c>
      <c r="H2" s="12">
        <v>7</v>
      </c>
      <c r="I2" s="12">
        <v>8</v>
      </c>
      <c r="J2" s="12">
        <v>9</v>
      </c>
      <c r="K2" s="12">
        <v>10</v>
      </c>
      <c r="L2" s="12">
        <v>11</v>
      </c>
      <c r="M2" s="12">
        <v>12</v>
      </c>
      <c r="N2" s="12">
        <v>13</v>
      </c>
      <c r="O2" s="12">
        <v>14</v>
      </c>
      <c r="P2" s="12">
        <v>15</v>
      </c>
    </row>
    <row r="3" spans="1:21" ht="4.5" customHeight="1" x14ac:dyDescent="0.35">
      <c r="A3" s="11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</row>
    <row r="4" spans="1:21" x14ac:dyDescent="0.35">
      <c r="A4" s="107" t="s">
        <v>19</v>
      </c>
      <c r="B4" s="14">
        <v>12.6</v>
      </c>
      <c r="C4" s="14">
        <v>12.69</v>
      </c>
      <c r="D4" s="14">
        <v>12.43</v>
      </c>
      <c r="E4" s="14">
        <v>12.51</v>
      </c>
      <c r="F4" s="14">
        <v>12.38</v>
      </c>
      <c r="G4" s="14">
        <v>12.68</v>
      </c>
      <c r="H4" s="14">
        <v>12.29</v>
      </c>
      <c r="I4" s="15">
        <v>12.69</v>
      </c>
      <c r="J4" s="15">
        <v>12.34</v>
      </c>
      <c r="K4" s="15">
        <v>12.29</v>
      </c>
      <c r="L4" s="15">
        <v>12.5</v>
      </c>
      <c r="M4" s="15">
        <v>12.44</v>
      </c>
      <c r="N4" s="15">
        <v>12.66</v>
      </c>
      <c r="O4" s="15">
        <v>12.54</v>
      </c>
      <c r="P4" s="15">
        <v>12.4</v>
      </c>
      <c r="R4" s="16"/>
    </row>
    <row r="5" spans="1:21" x14ac:dyDescent="0.35">
      <c r="A5" s="107"/>
      <c r="B5" s="14">
        <v>12.7</v>
      </c>
      <c r="C5" s="14">
        <v>12.5</v>
      </c>
      <c r="D5" s="14">
        <v>12.44</v>
      </c>
      <c r="E5" s="14">
        <v>12.55</v>
      </c>
      <c r="F5" s="14">
        <v>12.56</v>
      </c>
      <c r="G5" s="14">
        <v>12.44</v>
      </c>
      <c r="H5" s="14">
        <v>12.58</v>
      </c>
      <c r="I5" s="15">
        <v>12.57</v>
      </c>
      <c r="J5" s="15">
        <v>12.59</v>
      </c>
      <c r="K5" s="15">
        <v>12.49</v>
      </c>
      <c r="L5" s="15">
        <v>12.54</v>
      </c>
      <c r="M5" s="15">
        <v>12.45</v>
      </c>
      <c r="N5" s="15">
        <v>12.45</v>
      </c>
      <c r="O5" s="15">
        <v>12.61</v>
      </c>
      <c r="P5" s="15">
        <v>12.52</v>
      </c>
      <c r="R5" s="16"/>
    </row>
    <row r="6" spans="1:21" x14ac:dyDescent="0.35">
      <c r="A6" s="107"/>
      <c r="B6" s="14">
        <v>12.43</v>
      </c>
      <c r="C6" s="14">
        <v>12.34</v>
      </c>
      <c r="D6" s="14">
        <v>12.45</v>
      </c>
      <c r="E6" s="14">
        <v>12.43</v>
      </c>
      <c r="F6" s="14">
        <v>12.48</v>
      </c>
      <c r="G6" s="14">
        <v>12.42</v>
      </c>
      <c r="H6" s="14">
        <v>12.37</v>
      </c>
      <c r="I6" s="15">
        <v>12.41</v>
      </c>
      <c r="J6" s="15">
        <v>12.38</v>
      </c>
      <c r="K6" s="15">
        <v>12.39</v>
      </c>
      <c r="L6" s="15">
        <v>12.37</v>
      </c>
      <c r="M6" s="15">
        <v>12.5</v>
      </c>
      <c r="N6" s="15">
        <v>12.64</v>
      </c>
      <c r="O6" s="15">
        <v>12.37</v>
      </c>
      <c r="P6" s="15">
        <v>12.45</v>
      </c>
    </row>
    <row r="7" spans="1:21" x14ac:dyDescent="0.35">
      <c r="A7" s="107"/>
      <c r="B7" s="14">
        <v>12.49</v>
      </c>
      <c r="C7" s="14">
        <v>12.64</v>
      </c>
      <c r="D7" s="14">
        <v>12.38</v>
      </c>
      <c r="E7" s="14">
        <v>12.45</v>
      </c>
      <c r="F7" s="14">
        <v>12.46</v>
      </c>
      <c r="G7" s="14">
        <v>12.65</v>
      </c>
      <c r="H7" s="14">
        <v>12.49</v>
      </c>
      <c r="I7" s="15">
        <v>12.5</v>
      </c>
      <c r="J7" s="15">
        <v>12.49</v>
      </c>
      <c r="K7" s="15">
        <v>12.34</v>
      </c>
      <c r="L7" s="15">
        <v>12.45</v>
      </c>
      <c r="M7" s="15">
        <v>12.49</v>
      </c>
      <c r="N7" s="15">
        <v>12.61</v>
      </c>
      <c r="O7" s="15">
        <v>12.55</v>
      </c>
      <c r="P7" s="15">
        <v>12.46</v>
      </c>
    </row>
    <row r="8" spans="1:21" x14ac:dyDescent="0.35">
      <c r="A8" s="107"/>
      <c r="B8" s="14">
        <v>12.43</v>
      </c>
      <c r="C8" s="14">
        <v>12.45</v>
      </c>
      <c r="D8" s="14">
        <v>12.6</v>
      </c>
      <c r="E8" s="14">
        <v>12.35</v>
      </c>
      <c r="F8" s="14">
        <v>12.42</v>
      </c>
      <c r="G8" s="14">
        <v>12.62</v>
      </c>
      <c r="H8" s="14">
        <v>12.44</v>
      </c>
      <c r="I8" s="15">
        <v>12.35</v>
      </c>
      <c r="J8" s="15">
        <v>12.34</v>
      </c>
      <c r="K8" s="15">
        <v>12.63</v>
      </c>
      <c r="L8" s="15">
        <v>12.51</v>
      </c>
      <c r="M8" s="15">
        <v>12.64</v>
      </c>
      <c r="N8" s="15">
        <v>12.53</v>
      </c>
      <c r="O8" s="15">
        <v>12.66</v>
      </c>
      <c r="P8" s="15">
        <v>12.55</v>
      </c>
    </row>
    <row r="9" spans="1:21" x14ac:dyDescent="0.35">
      <c r="A9" s="11" t="s">
        <v>20</v>
      </c>
      <c r="B9" s="14">
        <f>AVERAGE(B4:B8)</f>
        <v>12.53</v>
      </c>
      <c r="C9" s="14">
        <f t="shared" ref="C9:P9" si="0">AVERAGE(C4:C8)</f>
        <v>12.524000000000001</v>
      </c>
      <c r="D9" s="14">
        <f t="shared" si="0"/>
        <v>12.459999999999999</v>
      </c>
      <c r="E9" s="14">
        <f t="shared" si="0"/>
        <v>12.458</v>
      </c>
      <c r="F9" s="14">
        <f t="shared" si="0"/>
        <v>12.46</v>
      </c>
      <c r="G9" s="14">
        <f t="shared" si="0"/>
        <v>12.561999999999999</v>
      </c>
      <c r="H9" s="14">
        <f t="shared" si="0"/>
        <v>12.433999999999999</v>
      </c>
      <c r="I9" s="14">
        <f t="shared" si="0"/>
        <v>12.504000000000001</v>
      </c>
      <c r="J9" s="14">
        <f t="shared" si="0"/>
        <v>12.428000000000001</v>
      </c>
      <c r="K9" s="14">
        <f t="shared" si="0"/>
        <v>12.428000000000001</v>
      </c>
      <c r="L9" s="14">
        <f t="shared" si="0"/>
        <v>12.474</v>
      </c>
      <c r="M9" s="14">
        <f t="shared" si="0"/>
        <v>12.504000000000001</v>
      </c>
      <c r="N9" s="14">
        <f t="shared" si="0"/>
        <v>12.577999999999999</v>
      </c>
      <c r="O9" s="14">
        <f t="shared" si="0"/>
        <v>12.545999999999998</v>
      </c>
      <c r="P9" s="14">
        <f t="shared" si="0"/>
        <v>12.476000000000003</v>
      </c>
      <c r="R9" s="17"/>
      <c r="S9" s="18"/>
      <c r="T9" s="18"/>
      <c r="U9" s="18"/>
    </row>
    <row r="10" spans="1:21" x14ac:dyDescent="0.35">
      <c r="A10" s="11" t="s">
        <v>21</v>
      </c>
      <c r="B10" s="14">
        <f>MAX(B4:B8)-MIN(B4:B8)</f>
        <v>0.26999999999999957</v>
      </c>
      <c r="C10" s="14">
        <f t="shared" ref="C10:P10" si="1">MAX(C4:C8)-MIN(C4:C8)</f>
        <v>0.34999999999999964</v>
      </c>
      <c r="D10" s="14">
        <f t="shared" si="1"/>
        <v>0.21999999999999886</v>
      </c>
      <c r="E10" s="14">
        <f t="shared" si="1"/>
        <v>0.20000000000000107</v>
      </c>
      <c r="F10" s="14">
        <f t="shared" si="1"/>
        <v>0.17999999999999972</v>
      </c>
      <c r="G10" s="14">
        <f t="shared" si="1"/>
        <v>0.25999999999999979</v>
      </c>
      <c r="H10" s="14">
        <f t="shared" si="1"/>
        <v>0.29000000000000092</v>
      </c>
      <c r="I10" s="14">
        <f t="shared" si="1"/>
        <v>0.33999999999999986</v>
      </c>
      <c r="J10" s="14">
        <f t="shared" si="1"/>
        <v>0.25</v>
      </c>
      <c r="K10" s="14">
        <f t="shared" si="1"/>
        <v>0.34000000000000163</v>
      </c>
      <c r="L10" s="14">
        <f t="shared" si="1"/>
        <v>0.16999999999999993</v>
      </c>
      <c r="M10" s="14">
        <f t="shared" si="1"/>
        <v>0.20000000000000107</v>
      </c>
      <c r="N10" s="14">
        <f t="shared" si="1"/>
        <v>0.21000000000000085</v>
      </c>
      <c r="O10" s="14">
        <f t="shared" si="1"/>
        <v>0.29000000000000092</v>
      </c>
      <c r="P10" s="14">
        <f t="shared" si="1"/>
        <v>0.15000000000000036</v>
      </c>
      <c r="R10" s="17"/>
      <c r="S10" s="18"/>
      <c r="T10" s="18"/>
      <c r="U10" s="18"/>
    </row>
    <row r="11" spans="1:21" x14ac:dyDescent="0.35">
      <c r="A11" s="11" t="s">
        <v>22</v>
      </c>
      <c r="B11" s="14">
        <v>13</v>
      </c>
      <c r="C11" s="14">
        <v>13</v>
      </c>
      <c r="D11" s="14">
        <v>13</v>
      </c>
      <c r="E11" s="14">
        <v>13</v>
      </c>
      <c r="F11" s="14">
        <v>13</v>
      </c>
      <c r="G11" s="14">
        <v>13</v>
      </c>
      <c r="H11" s="14">
        <v>13</v>
      </c>
      <c r="I11" s="14">
        <v>13</v>
      </c>
      <c r="J11" s="14">
        <v>13</v>
      </c>
      <c r="K11" s="14">
        <v>13</v>
      </c>
      <c r="L11" s="14">
        <v>13</v>
      </c>
      <c r="M11" s="14">
        <v>13</v>
      </c>
      <c r="N11" s="14">
        <v>13</v>
      </c>
      <c r="O11" s="14">
        <v>13</v>
      </c>
      <c r="P11" s="14">
        <v>13</v>
      </c>
      <c r="Q11" s="18"/>
      <c r="S11" s="18"/>
      <c r="T11" s="18"/>
      <c r="U11" s="18"/>
    </row>
    <row r="12" spans="1:21" x14ac:dyDescent="0.35">
      <c r="A12" s="11" t="s">
        <v>23</v>
      </c>
      <c r="B12" s="14">
        <v>12</v>
      </c>
      <c r="C12" s="14">
        <v>12</v>
      </c>
      <c r="D12" s="14">
        <v>12</v>
      </c>
      <c r="E12" s="14">
        <v>12</v>
      </c>
      <c r="F12" s="14">
        <v>12</v>
      </c>
      <c r="G12" s="14">
        <v>12</v>
      </c>
      <c r="H12" s="14">
        <v>12</v>
      </c>
      <c r="I12" s="14">
        <v>12</v>
      </c>
      <c r="J12" s="14">
        <v>12</v>
      </c>
      <c r="K12" s="14">
        <v>12</v>
      </c>
      <c r="L12" s="14">
        <v>12</v>
      </c>
      <c r="M12" s="14">
        <v>12</v>
      </c>
      <c r="N12" s="14">
        <v>12</v>
      </c>
      <c r="O12" s="14">
        <v>12</v>
      </c>
      <c r="P12" s="14">
        <v>12</v>
      </c>
      <c r="Q12" s="18"/>
      <c r="S12" s="18"/>
      <c r="T12" s="18"/>
      <c r="U12" s="18"/>
    </row>
    <row r="13" spans="1:21" x14ac:dyDescent="0.35">
      <c r="A13" s="11" t="s">
        <v>24</v>
      </c>
      <c r="B13" s="14">
        <f>$R$18+($R$20*$R$19)</f>
        <v>12.634906666666666</v>
      </c>
      <c r="C13" s="14">
        <f t="shared" ref="C13:P13" si="2">$R$18+($R$20*$R$19)</f>
        <v>12.634906666666666</v>
      </c>
      <c r="D13" s="14">
        <f t="shared" si="2"/>
        <v>12.634906666666666</v>
      </c>
      <c r="E13" s="14">
        <f t="shared" si="2"/>
        <v>12.634906666666666</v>
      </c>
      <c r="F13" s="14">
        <f t="shared" si="2"/>
        <v>12.634906666666666</v>
      </c>
      <c r="G13" s="14">
        <f t="shared" si="2"/>
        <v>12.634906666666666</v>
      </c>
      <c r="H13" s="14">
        <f t="shared" si="2"/>
        <v>12.634906666666666</v>
      </c>
      <c r="I13" s="14">
        <f t="shared" si="2"/>
        <v>12.634906666666666</v>
      </c>
      <c r="J13" s="14">
        <f t="shared" si="2"/>
        <v>12.634906666666666</v>
      </c>
      <c r="K13" s="14">
        <f t="shared" si="2"/>
        <v>12.634906666666666</v>
      </c>
      <c r="L13" s="14">
        <f t="shared" si="2"/>
        <v>12.634906666666666</v>
      </c>
      <c r="M13" s="14">
        <f t="shared" si="2"/>
        <v>12.634906666666666</v>
      </c>
      <c r="N13" s="14">
        <f t="shared" si="2"/>
        <v>12.634906666666666</v>
      </c>
      <c r="O13" s="14">
        <f t="shared" si="2"/>
        <v>12.634906666666666</v>
      </c>
      <c r="P13" s="14">
        <f t="shared" si="2"/>
        <v>12.634906666666666</v>
      </c>
      <c r="Q13" s="19" t="s">
        <v>88</v>
      </c>
      <c r="R13" s="20"/>
      <c r="S13" s="18"/>
      <c r="T13" s="18"/>
      <c r="U13" s="18"/>
    </row>
    <row r="14" spans="1:21" x14ac:dyDescent="0.35">
      <c r="A14" s="11" t="s">
        <v>25</v>
      </c>
      <c r="B14" s="14">
        <f>$R$18-($R$20*$R$19)</f>
        <v>12.347226666666664</v>
      </c>
      <c r="C14" s="14">
        <f t="shared" ref="C14:P14" si="3">$R$18-($R$20*$R$19)</f>
        <v>12.347226666666664</v>
      </c>
      <c r="D14" s="14">
        <f t="shared" si="3"/>
        <v>12.347226666666664</v>
      </c>
      <c r="E14" s="14">
        <f t="shared" si="3"/>
        <v>12.347226666666664</v>
      </c>
      <c r="F14" s="14">
        <f t="shared" si="3"/>
        <v>12.347226666666664</v>
      </c>
      <c r="G14" s="14">
        <f t="shared" si="3"/>
        <v>12.347226666666664</v>
      </c>
      <c r="H14" s="14">
        <f t="shared" si="3"/>
        <v>12.347226666666664</v>
      </c>
      <c r="I14" s="14">
        <f t="shared" si="3"/>
        <v>12.347226666666664</v>
      </c>
      <c r="J14" s="14">
        <f t="shared" si="3"/>
        <v>12.347226666666664</v>
      </c>
      <c r="K14" s="14">
        <f t="shared" si="3"/>
        <v>12.347226666666664</v>
      </c>
      <c r="L14" s="14">
        <f t="shared" si="3"/>
        <v>12.347226666666664</v>
      </c>
      <c r="M14" s="14">
        <f t="shared" si="3"/>
        <v>12.347226666666664</v>
      </c>
      <c r="N14" s="14">
        <f t="shared" si="3"/>
        <v>12.347226666666664</v>
      </c>
      <c r="O14" s="14">
        <f t="shared" si="3"/>
        <v>12.347226666666664</v>
      </c>
      <c r="P14" s="14">
        <f t="shared" si="3"/>
        <v>12.347226666666664</v>
      </c>
      <c r="Q14" s="19" t="s">
        <v>89</v>
      </c>
      <c r="R14" s="20"/>
      <c r="S14" s="18"/>
      <c r="T14" s="18"/>
      <c r="U14" s="18"/>
    </row>
    <row r="15" spans="1:21" x14ac:dyDescent="0.35">
      <c r="A15" s="11" t="s">
        <v>26</v>
      </c>
      <c r="B15" s="14">
        <f>$R$19*$R$22</f>
        <v>0.52328000000000052</v>
      </c>
      <c r="C15" s="14">
        <f t="shared" ref="C15:P15" si="4">$R$19*$R$22</f>
        <v>0.52328000000000052</v>
      </c>
      <c r="D15" s="14">
        <f t="shared" si="4"/>
        <v>0.52328000000000052</v>
      </c>
      <c r="E15" s="14">
        <f t="shared" si="4"/>
        <v>0.52328000000000052</v>
      </c>
      <c r="F15" s="14">
        <f t="shared" si="4"/>
        <v>0.52328000000000052</v>
      </c>
      <c r="G15" s="14">
        <f t="shared" si="4"/>
        <v>0.52328000000000052</v>
      </c>
      <c r="H15" s="14">
        <f t="shared" si="4"/>
        <v>0.52328000000000052</v>
      </c>
      <c r="I15" s="14">
        <f t="shared" si="4"/>
        <v>0.52328000000000052</v>
      </c>
      <c r="J15" s="14">
        <f t="shared" si="4"/>
        <v>0.52328000000000052</v>
      </c>
      <c r="K15" s="14">
        <f t="shared" si="4"/>
        <v>0.52328000000000052</v>
      </c>
      <c r="L15" s="14">
        <f t="shared" si="4"/>
        <v>0.52328000000000052</v>
      </c>
      <c r="M15" s="14">
        <f t="shared" si="4"/>
        <v>0.52328000000000052</v>
      </c>
      <c r="N15" s="14">
        <f t="shared" si="4"/>
        <v>0.52328000000000052</v>
      </c>
      <c r="O15" s="14">
        <f t="shared" si="4"/>
        <v>0.52328000000000052</v>
      </c>
      <c r="P15" s="14">
        <f t="shared" si="4"/>
        <v>0.52328000000000052</v>
      </c>
      <c r="Q15" s="21" t="s">
        <v>27</v>
      </c>
      <c r="R15" s="20"/>
    </row>
    <row r="16" spans="1:21" x14ac:dyDescent="0.35">
      <c r="A16" s="11" t="s">
        <v>28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21" t="s">
        <v>29</v>
      </c>
      <c r="R16" s="20"/>
    </row>
    <row r="17" spans="2:21" x14ac:dyDescent="0.35">
      <c r="D17" s="18"/>
      <c r="E17" s="18"/>
      <c r="K17" s="18"/>
      <c r="L17" s="18"/>
      <c r="M17" s="18"/>
      <c r="N17" s="18"/>
      <c r="O17" s="18"/>
      <c r="P17" s="18"/>
    </row>
    <row r="18" spans="2:21" x14ac:dyDescent="0.35">
      <c r="D18" s="18"/>
      <c r="E18" s="18"/>
      <c r="H18" s="18"/>
      <c r="K18" s="18"/>
      <c r="L18" s="18"/>
      <c r="M18" s="18"/>
      <c r="N18" s="18"/>
      <c r="O18" s="18"/>
      <c r="P18" s="18"/>
      <c r="Q18" s="22" t="s">
        <v>87</v>
      </c>
      <c r="R18" s="23">
        <f>AVERAGE(B9:P9)</f>
        <v>12.491066666666665</v>
      </c>
    </row>
    <row r="19" spans="2:21" x14ac:dyDescent="0.35"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2" t="s">
        <v>31</v>
      </c>
      <c r="R19" s="23">
        <f>AVERAGE(B10:P10)</f>
        <v>0.24800000000000028</v>
      </c>
    </row>
    <row r="20" spans="2:21" ht="15" x14ac:dyDescent="0.4"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5" t="s">
        <v>32</v>
      </c>
      <c r="R20" s="26">
        <v>0.57999999999999996</v>
      </c>
    </row>
    <row r="21" spans="2:21" ht="15" x14ac:dyDescent="0.4"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5" t="s">
        <v>33</v>
      </c>
      <c r="R21" s="26">
        <v>0</v>
      </c>
      <c r="S21" s="18"/>
      <c r="T21" s="18"/>
      <c r="U21" s="18"/>
    </row>
    <row r="22" spans="2:21" ht="15" x14ac:dyDescent="0.4"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5" t="s">
        <v>34</v>
      </c>
      <c r="R22" s="26">
        <v>2.11</v>
      </c>
      <c r="S22" s="18"/>
      <c r="T22" s="18"/>
      <c r="U22" s="18"/>
    </row>
    <row r="23" spans="2:21" x14ac:dyDescent="0.35"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18"/>
      <c r="S23" s="18"/>
      <c r="T23" s="18"/>
      <c r="U23" s="18"/>
    </row>
    <row r="24" spans="2:21" x14ac:dyDescent="0.35">
      <c r="D24" s="18"/>
      <c r="E24" s="18"/>
      <c r="G24" s="18"/>
      <c r="H24" s="18"/>
      <c r="K24" s="18"/>
      <c r="L24" s="18"/>
      <c r="M24" s="18"/>
      <c r="N24" s="18"/>
      <c r="O24" s="18"/>
      <c r="P24" s="18"/>
      <c r="Q24" s="18"/>
      <c r="S24" s="18"/>
      <c r="T24" s="18"/>
      <c r="U24" s="18"/>
    </row>
    <row r="25" spans="2:21" x14ac:dyDescent="0.35">
      <c r="D25" s="18"/>
      <c r="E25" s="18"/>
      <c r="G25" s="18"/>
      <c r="H25" s="18"/>
      <c r="K25" s="18"/>
      <c r="L25" s="18"/>
      <c r="M25" s="18"/>
      <c r="N25" s="18"/>
      <c r="O25" s="18"/>
      <c r="P25" s="18"/>
      <c r="Q25" s="18"/>
      <c r="S25" s="18"/>
      <c r="T25" s="18"/>
      <c r="U25" s="18"/>
    </row>
    <row r="26" spans="2:21" x14ac:dyDescent="0.35">
      <c r="Q26" s="18"/>
    </row>
    <row r="27" spans="2:21" x14ac:dyDescent="0.35">
      <c r="Q27" s="18"/>
    </row>
  </sheetData>
  <mergeCells count="1">
    <mergeCell ref="A4:A8"/>
  </mergeCells>
  <printOptions horizontalCentered="1"/>
  <pageMargins left="0.25" right="0.25" top="0.75" bottom="0.75" header="0.3" footer="0.3"/>
  <pageSetup scale="8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448EE-2F38-4C33-93A6-8F825C2EBBCC}">
  <sheetPr>
    <pageSetUpPr fitToPage="1"/>
  </sheetPr>
  <dimension ref="A2:S34"/>
  <sheetViews>
    <sheetView topLeftCell="A15" zoomScale="115" zoomScaleNormal="115" workbookViewId="0">
      <selection activeCell="T26" sqref="T26"/>
    </sheetView>
  </sheetViews>
  <sheetFormatPr defaultRowHeight="14.5" x14ac:dyDescent="0.35"/>
  <cols>
    <col min="2" max="16" width="5.7265625" customWidth="1"/>
    <col min="17" max="17" width="6.54296875" customWidth="1"/>
    <col min="18" max="18" width="15.26953125" style="13" customWidth="1"/>
    <col min="19" max="33" width="5.7265625" customWidth="1"/>
  </cols>
  <sheetData>
    <row r="2" spans="1:19" x14ac:dyDescent="0.35">
      <c r="A2" s="11" t="s">
        <v>18</v>
      </c>
      <c r="B2" s="11">
        <v>1</v>
      </c>
      <c r="C2" s="11">
        <v>2</v>
      </c>
      <c r="D2" s="11">
        <v>3</v>
      </c>
      <c r="E2" s="11">
        <v>4</v>
      </c>
      <c r="F2" s="11">
        <v>5</v>
      </c>
      <c r="G2" s="11">
        <v>6</v>
      </c>
      <c r="H2" s="11">
        <v>7</v>
      </c>
      <c r="I2" s="11">
        <v>8</v>
      </c>
      <c r="J2" s="11">
        <v>9</v>
      </c>
      <c r="K2" s="11">
        <v>10</v>
      </c>
      <c r="L2" s="11">
        <v>11</v>
      </c>
      <c r="M2" s="11">
        <v>12</v>
      </c>
      <c r="N2" s="11">
        <v>13</v>
      </c>
      <c r="O2" s="11">
        <v>14</v>
      </c>
      <c r="P2" s="11">
        <v>15</v>
      </c>
    </row>
    <row r="3" spans="1:19" ht="4.5" customHeight="1" thickBot="1" x14ac:dyDescent="0.4">
      <c r="A3" s="11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</row>
    <row r="4" spans="1:19" ht="15" customHeight="1" x14ac:dyDescent="0.35">
      <c r="A4" s="108" t="s">
        <v>19</v>
      </c>
      <c r="B4" s="28">
        <v>12.6</v>
      </c>
      <c r="C4" s="29">
        <v>12.69</v>
      </c>
      <c r="D4" s="29">
        <v>12.43</v>
      </c>
      <c r="E4" s="29">
        <v>12.51</v>
      </c>
      <c r="F4" s="29">
        <v>12.38</v>
      </c>
      <c r="G4" s="29">
        <v>12.68</v>
      </c>
      <c r="H4" s="29">
        <v>12.29</v>
      </c>
      <c r="I4" s="30">
        <v>12.69</v>
      </c>
      <c r="J4" s="30">
        <v>12.34</v>
      </c>
      <c r="K4" s="30">
        <v>12.29</v>
      </c>
      <c r="L4" s="30">
        <v>12.5</v>
      </c>
      <c r="M4" s="30">
        <v>12.44</v>
      </c>
      <c r="N4" s="30">
        <v>12.66</v>
      </c>
      <c r="O4" s="30">
        <v>12.54</v>
      </c>
      <c r="P4" s="31">
        <v>12.4</v>
      </c>
      <c r="R4" s="16"/>
    </row>
    <row r="5" spans="1:19" x14ac:dyDescent="0.35">
      <c r="A5" s="109"/>
      <c r="B5" s="32">
        <v>12.7</v>
      </c>
      <c r="C5" s="14">
        <v>12.5</v>
      </c>
      <c r="D5" s="14">
        <v>12.44</v>
      </c>
      <c r="E5" s="14">
        <v>12.55</v>
      </c>
      <c r="F5" s="14">
        <v>12.56</v>
      </c>
      <c r="G5" s="14">
        <v>12.44</v>
      </c>
      <c r="H5" s="14">
        <v>12.58</v>
      </c>
      <c r="I5" s="15">
        <v>12.57</v>
      </c>
      <c r="J5" s="15">
        <v>12.59</v>
      </c>
      <c r="K5" s="15">
        <v>12.49</v>
      </c>
      <c r="L5" s="15">
        <v>12.54</v>
      </c>
      <c r="M5" s="15">
        <v>12.45</v>
      </c>
      <c r="N5" s="15">
        <v>12.45</v>
      </c>
      <c r="O5" s="15">
        <v>12.61</v>
      </c>
      <c r="P5" s="33">
        <v>12.52</v>
      </c>
      <c r="R5" s="16"/>
    </row>
    <row r="6" spans="1:19" x14ac:dyDescent="0.35">
      <c r="A6" s="109"/>
      <c r="B6" s="32">
        <v>12.43</v>
      </c>
      <c r="C6" s="14">
        <v>12.34</v>
      </c>
      <c r="D6" s="14">
        <v>12.45</v>
      </c>
      <c r="E6" s="14">
        <v>12.43</v>
      </c>
      <c r="F6" s="14">
        <v>12.48</v>
      </c>
      <c r="G6" s="14">
        <v>12.42</v>
      </c>
      <c r="H6" s="14">
        <v>12.37</v>
      </c>
      <c r="I6" s="15">
        <v>12.41</v>
      </c>
      <c r="J6" s="15">
        <v>12.38</v>
      </c>
      <c r="K6" s="15">
        <v>12.39</v>
      </c>
      <c r="L6" s="15">
        <v>12.37</v>
      </c>
      <c r="M6" s="15">
        <v>12.5</v>
      </c>
      <c r="N6" s="15">
        <v>12.64</v>
      </c>
      <c r="O6" s="15">
        <v>12.37</v>
      </c>
      <c r="P6" s="33">
        <v>12.45</v>
      </c>
    </row>
    <row r="7" spans="1:19" x14ac:dyDescent="0.35">
      <c r="A7" s="109"/>
      <c r="B7" s="32">
        <v>12.49</v>
      </c>
      <c r="C7" s="14">
        <v>12.64</v>
      </c>
      <c r="D7" s="14">
        <v>12.38</v>
      </c>
      <c r="E7" s="14">
        <v>12.45</v>
      </c>
      <c r="F7" s="14">
        <v>12.46</v>
      </c>
      <c r="G7" s="14">
        <v>12.65</v>
      </c>
      <c r="H7" s="14">
        <v>12.49</v>
      </c>
      <c r="I7" s="15">
        <v>12.5</v>
      </c>
      <c r="J7" s="15">
        <v>12.49</v>
      </c>
      <c r="K7" s="15">
        <v>12.34</v>
      </c>
      <c r="L7" s="15">
        <v>12.45</v>
      </c>
      <c r="M7" s="15">
        <v>12.49</v>
      </c>
      <c r="N7" s="15">
        <v>12.61</v>
      </c>
      <c r="O7" s="15">
        <v>12.55</v>
      </c>
      <c r="P7" s="33">
        <v>12.46</v>
      </c>
    </row>
    <row r="8" spans="1:19" x14ac:dyDescent="0.35">
      <c r="A8" s="109"/>
      <c r="B8" s="32">
        <v>12.43</v>
      </c>
      <c r="C8" s="14">
        <v>12.45</v>
      </c>
      <c r="D8" s="14">
        <v>12.6</v>
      </c>
      <c r="E8" s="14">
        <v>12.35</v>
      </c>
      <c r="F8" s="14">
        <v>12.42</v>
      </c>
      <c r="G8" s="14">
        <v>12.62</v>
      </c>
      <c r="H8" s="14">
        <v>12.44</v>
      </c>
      <c r="I8" s="15">
        <v>12.35</v>
      </c>
      <c r="J8" s="15">
        <v>12.34</v>
      </c>
      <c r="K8" s="15">
        <v>12.63</v>
      </c>
      <c r="L8" s="15">
        <v>12.51</v>
      </c>
      <c r="M8" s="15">
        <v>12.64</v>
      </c>
      <c r="N8" s="15">
        <v>12.53</v>
      </c>
      <c r="O8" s="15">
        <v>12.66</v>
      </c>
      <c r="P8" s="33">
        <v>12.55</v>
      </c>
    </row>
    <row r="9" spans="1:19" x14ac:dyDescent="0.35">
      <c r="A9" s="109"/>
      <c r="B9" s="32">
        <v>12.551526126298995</v>
      </c>
      <c r="C9" s="14">
        <v>12.389211062509276</v>
      </c>
      <c r="D9" s="14">
        <v>12.564949711031659</v>
      </c>
      <c r="E9" s="14">
        <v>12.58627105216874</v>
      </c>
      <c r="F9" s="14">
        <v>12.493006770182546</v>
      </c>
      <c r="G9" s="14">
        <v>12.587963553596637</v>
      </c>
      <c r="H9" s="14">
        <v>12.498876626250421</v>
      </c>
      <c r="I9" s="15">
        <v>12.229463888797909</v>
      </c>
      <c r="J9" s="15">
        <v>12.681896257345215</v>
      </c>
      <c r="K9" s="15">
        <v>12.63790222510579</v>
      </c>
      <c r="L9" s="15">
        <v>12.428366446511063</v>
      </c>
      <c r="M9" s="15">
        <v>12.581045732258644</v>
      </c>
      <c r="N9" s="15">
        <v>12.559517924455577</v>
      </c>
      <c r="O9" s="15">
        <v>12.463320090046182</v>
      </c>
      <c r="P9" s="33">
        <v>12.560955062508583</v>
      </c>
    </row>
    <row r="10" spans="1:19" x14ac:dyDescent="0.35">
      <c r="A10" s="109"/>
      <c r="B10" s="32">
        <v>12.454099121168838</v>
      </c>
      <c r="C10" s="14">
        <v>12.446152217944473</v>
      </c>
      <c r="D10" s="14">
        <v>12.626846816783655</v>
      </c>
      <c r="E10" s="14">
        <v>12.421265794000647</v>
      </c>
      <c r="F10" s="14">
        <v>12.641791451824247</v>
      </c>
      <c r="G10" s="14">
        <v>12.557974864375865</v>
      </c>
      <c r="H10" s="14">
        <v>12.557849183576764</v>
      </c>
      <c r="I10" s="15">
        <v>12.726563588512363</v>
      </c>
      <c r="J10" s="15">
        <v>12.654070903590764</v>
      </c>
      <c r="K10" s="15">
        <v>12.498901887465763</v>
      </c>
      <c r="L10" s="15">
        <v>12.384614771872293</v>
      </c>
      <c r="M10" s="15">
        <v>12.58467784482491</v>
      </c>
      <c r="N10" s="15">
        <v>12.623439303933992</v>
      </c>
      <c r="O10" s="15">
        <v>12.55109455969432</v>
      </c>
      <c r="P10" s="33">
        <v>12.350655194677529</v>
      </c>
    </row>
    <row r="11" spans="1:19" x14ac:dyDescent="0.35">
      <c r="A11" s="109"/>
      <c r="B11" s="32">
        <v>12.585677038441645</v>
      </c>
      <c r="C11" s="14">
        <v>12.559196781876381</v>
      </c>
      <c r="D11" s="14">
        <v>12.590029720922757</v>
      </c>
      <c r="E11" s="14">
        <v>12.620283903015661</v>
      </c>
      <c r="F11" s="14">
        <v>12.552005589168402</v>
      </c>
      <c r="G11" s="14">
        <v>12.421569803973398</v>
      </c>
      <c r="H11" s="14">
        <v>12.380781319916423</v>
      </c>
      <c r="I11" s="15">
        <v>12.604381092569383</v>
      </c>
      <c r="J11" s="15">
        <v>12.5729598923499</v>
      </c>
      <c r="K11" s="15">
        <v>12.559440014865686</v>
      </c>
      <c r="L11" s="15">
        <v>12.540249244648294</v>
      </c>
      <c r="M11" s="15">
        <v>12.260709761176258</v>
      </c>
      <c r="N11" s="15">
        <v>12.423756899988803</v>
      </c>
      <c r="O11" s="15">
        <v>12.457565410113602</v>
      </c>
      <c r="P11" s="33">
        <v>12.424621283753368</v>
      </c>
    </row>
    <row r="12" spans="1:19" x14ac:dyDescent="0.35">
      <c r="A12" s="109"/>
      <c r="B12" s="32">
        <v>12.578951802606753</v>
      </c>
      <c r="C12" s="14">
        <v>12.58845102001942</v>
      </c>
      <c r="D12" s="14">
        <v>12.244518572697416</v>
      </c>
      <c r="E12" s="14">
        <v>12.493639050899219</v>
      </c>
      <c r="F12" s="14">
        <v>12.257946534373332</v>
      </c>
      <c r="G12" s="14">
        <v>12.488319314070395</v>
      </c>
      <c r="H12" s="14">
        <v>12.571820886660134</v>
      </c>
      <c r="I12" s="15">
        <v>12.553658072829421</v>
      </c>
      <c r="J12" s="15">
        <v>12.350528388378734</v>
      </c>
      <c r="K12" s="15">
        <v>12.636437074615969</v>
      </c>
      <c r="L12" s="15">
        <v>12.525388271751581</v>
      </c>
      <c r="M12" s="15">
        <v>12.615677357825916</v>
      </c>
      <c r="N12" s="15">
        <v>12.522750850803277</v>
      </c>
      <c r="O12" s="15">
        <v>12.45730229329638</v>
      </c>
      <c r="P12" s="33">
        <v>12.31626242515631</v>
      </c>
    </row>
    <row r="13" spans="1:19" x14ac:dyDescent="0.35">
      <c r="A13" s="109"/>
      <c r="B13" s="32">
        <v>12.552278585371823</v>
      </c>
      <c r="C13" s="14">
        <v>12.569781606271135</v>
      </c>
      <c r="D13" s="14">
        <v>12.541150269680656</v>
      </c>
      <c r="E13" s="14">
        <v>12.444944306662364</v>
      </c>
      <c r="F13" s="14">
        <v>12.663768208949477</v>
      </c>
      <c r="G13" s="14">
        <v>12.606069842331635</v>
      </c>
      <c r="H13" s="14">
        <v>12.483014708959672</v>
      </c>
      <c r="I13" s="15">
        <v>12.43430758422619</v>
      </c>
      <c r="J13" s="15">
        <v>12.30984457579325</v>
      </c>
      <c r="K13" s="15">
        <v>12.603120783023769</v>
      </c>
      <c r="L13" s="15">
        <v>12.386866271481267</v>
      </c>
      <c r="M13" s="15">
        <v>12.39838438523293</v>
      </c>
      <c r="N13" s="15">
        <v>12.501560943019285</v>
      </c>
      <c r="O13" s="15">
        <v>12.4678624817534</v>
      </c>
      <c r="P13" s="33">
        <v>12.618254251901817</v>
      </c>
    </row>
    <row r="14" spans="1:19" x14ac:dyDescent="0.35">
      <c r="A14" s="109"/>
      <c r="B14" s="32">
        <v>12.479745257405739</v>
      </c>
      <c r="C14" s="14">
        <v>12.603264346762444</v>
      </c>
      <c r="D14" s="14">
        <v>12.589185596152674</v>
      </c>
      <c r="E14" s="14">
        <v>12.613764008347061</v>
      </c>
      <c r="F14" s="14">
        <v>12.376465903980716</v>
      </c>
      <c r="G14" s="14">
        <v>12.506849916189822</v>
      </c>
      <c r="H14" s="14">
        <v>12.508140364116116</v>
      </c>
      <c r="I14" s="15">
        <v>12.471254987940483</v>
      </c>
      <c r="J14" s="15">
        <v>12.477206130097329</v>
      </c>
      <c r="K14" s="15">
        <v>12.415254375082441</v>
      </c>
      <c r="L14" s="15">
        <v>12.53208474481653</v>
      </c>
      <c r="M14" s="15">
        <v>12.576136052484799</v>
      </c>
      <c r="N14" s="15">
        <v>12.485072622621374</v>
      </c>
      <c r="O14" s="15">
        <v>12.490863693710708</v>
      </c>
      <c r="P14" s="33">
        <v>12.377080426813336</v>
      </c>
    </row>
    <row r="15" spans="1:19" ht="15" thickBot="1" x14ac:dyDescent="0.4">
      <c r="A15" s="110"/>
      <c r="B15" s="34">
        <v>12.646927482091996</v>
      </c>
      <c r="C15" s="35">
        <v>12.543133525196026</v>
      </c>
      <c r="D15" s="35">
        <v>12.704423758987105</v>
      </c>
      <c r="E15" s="35">
        <v>12.486600050760899</v>
      </c>
      <c r="F15" s="35">
        <v>12.353686290407495</v>
      </c>
      <c r="G15" s="35">
        <v>12.570596468049189</v>
      </c>
      <c r="H15" s="35">
        <v>12.375144817451655</v>
      </c>
      <c r="I15" s="36">
        <v>12.572363252456853</v>
      </c>
      <c r="J15" s="36">
        <v>12.515003786302259</v>
      </c>
      <c r="K15" s="36">
        <v>12.655703628479387</v>
      </c>
      <c r="L15" s="36">
        <v>12.408859911101899</v>
      </c>
      <c r="M15" s="36">
        <v>12.543806824123749</v>
      </c>
      <c r="N15" s="36">
        <v>12.47819406871713</v>
      </c>
      <c r="O15" s="36">
        <v>12.435620417090831</v>
      </c>
      <c r="P15" s="37">
        <v>12.540510235521651</v>
      </c>
    </row>
    <row r="16" spans="1:19" x14ac:dyDescent="0.35">
      <c r="A16" s="38" t="s">
        <v>20</v>
      </c>
      <c r="B16" s="39">
        <f>AVERAGE(B4:B15)</f>
        <v>12.541600451115483</v>
      </c>
      <c r="C16" s="39">
        <f t="shared" ref="C16:P16" si="0">AVERAGE(C4:C15)</f>
        <v>12.526599213381596</v>
      </c>
      <c r="D16" s="39">
        <f t="shared" si="0"/>
        <v>12.513425370521327</v>
      </c>
      <c r="E16" s="39">
        <f t="shared" si="0"/>
        <v>12.496397347154549</v>
      </c>
      <c r="F16" s="39">
        <f t="shared" si="0"/>
        <v>12.469889229073852</v>
      </c>
      <c r="G16" s="39">
        <f t="shared" si="0"/>
        <v>12.545778646882246</v>
      </c>
      <c r="H16" s="39">
        <f t="shared" si="0"/>
        <v>12.462135658910931</v>
      </c>
      <c r="I16" s="39">
        <f t="shared" si="0"/>
        <v>12.509332705611051</v>
      </c>
      <c r="J16" s="39">
        <f t="shared" si="0"/>
        <v>12.475125827821453</v>
      </c>
      <c r="K16" s="39">
        <f t="shared" si="0"/>
        <v>12.512229999053234</v>
      </c>
      <c r="L16" s="39">
        <f t="shared" si="0"/>
        <v>12.464702471848577</v>
      </c>
      <c r="M16" s="39">
        <f t="shared" si="0"/>
        <v>12.506703163160601</v>
      </c>
      <c r="N16" s="39">
        <f t="shared" si="0"/>
        <v>12.540357717794953</v>
      </c>
      <c r="O16" s="39">
        <f t="shared" si="0"/>
        <v>12.504469078808784</v>
      </c>
      <c r="P16" s="39">
        <f t="shared" si="0"/>
        <v>12.464028240027716</v>
      </c>
      <c r="R16" s="17"/>
      <c r="S16" s="18"/>
    </row>
    <row r="17" spans="1:19" x14ac:dyDescent="0.35">
      <c r="A17" s="38" t="s">
        <v>35</v>
      </c>
      <c r="B17" s="14">
        <f>_xlfn.STDEV.S(B4:B15)</f>
        <v>8.6444724379556609E-2</v>
      </c>
      <c r="C17" s="14">
        <f t="shared" ref="C17:P17" si="1">_xlfn.STDEV.S(C4:C15)</f>
        <v>0.10409999357316939</v>
      </c>
      <c r="D17" s="14">
        <f t="shared" si="1"/>
        <v>0.12733573798425191</v>
      </c>
      <c r="E17" s="14">
        <f t="shared" si="1"/>
        <v>8.3474349325343727E-2</v>
      </c>
      <c r="F17" s="14">
        <f t="shared" si="1"/>
        <v>0.12077653333464396</v>
      </c>
      <c r="G17" s="14">
        <f t="shared" si="1"/>
        <v>8.9351087755478759E-2</v>
      </c>
      <c r="H17" s="14">
        <f t="shared" si="1"/>
        <v>9.1729942462611805E-2</v>
      </c>
      <c r="I17" s="14">
        <f t="shared" si="1"/>
        <v>0.14117315774867656</v>
      </c>
      <c r="J17" s="14">
        <f t="shared" si="1"/>
        <v>0.13065153741113189</v>
      </c>
      <c r="K17" s="14">
        <f t="shared" si="1"/>
        <v>0.12800244403593788</v>
      </c>
      <c r="L17" s="14">
        <f t="shared" si="1"/>
        <v>6.6738215951626809E-2</v>
      </c>
      <c r="M17" s="14">
        <f t="shared" si="1"/>
        <v>0.10773793894421235</v>
      </c>
      <c r="N17" s="14">
        <f t="shared" si="1"/>
        <v>7.8024514649401022E-2</v>
      </c>
      <c r="O17" s="14">
        <f t="shared" si="1"/>
        <v>8.0510422410327603E-2</v>
      </c>
      <c r="P17" s="14">
        <f t="shared" si="1"/>
        <v>9.4227768709600396E-2</v>
      </c>
      <c r="R17" s="17"/>
      <c r="S17" s="18"/>
    </row>
    <row r="18" spans="1:19" x14ac:dyDescent="0.35">
      <c r="A18" s="38" t="s">
        <v>22</v>
      </c>
      <c r="B18" s="14">
        <v>13</v>
      </c>
      <c r="C18" s="14">
        <v>13</v>
      </c>
      <c r="D18" s="14">
        <v>13</v>
      </c>
      <c r="E18" s="14">
        <v>13</v>
      </c>
      <c r="F18" s="14">
        <v>13</v>
      </c>
      <c r="G18" s="14">
        <v>13</v>
      </c>
      <c r="H18" s="14">
        <v>13</v>
      </c>
      <c r="I18" s="14">
        <v>13</v>
      </c>
      <c r="J18" s="14">
        <v>13</v>
      </c>
      <c r="K18" s="14">
        <v>13</v>
      </c>
      <c r="L18" s="14">
        <v>13</v>
      </c>
      <c r="M18" s="14">
        <v>13</v>
      </c>
      <c r="N18" s="14">
        <v>13</v>
      </c>
      <c r="O18" s="14">
        <v>13</v>
      </c>
      <c r="P18" s="14">
        <v>13</v>
      </c>
      <c r="Q18" s="18"/>
      <c r="S18" s="18"/>
    </row>
    <row r="19" spans="1:19" x14ac:dyDescent="0.35">
      <c r="A19" s="38" t="s">
        <v>23</v>
      </c>
      <c r="B19" s="14">
        <v>12</v>
      </c>
      <c r="C19" s="14">
        <v>12</v>
      </c>
      <c r="D19" s="14">
        <v>12</v>
      </c>
      <c r="E19" s="14">
        <v>12</v>
      </c>
      <c r="F19" s="14">
        <v>12</v>
      </c>
      <c r="G19" s="14">
        <v>12</v>
      </c>
      <c r="H19" s="14">
        <v>12</v>
      </c>
      <c r="I19" s="14">
        <v>12</v>
      </c>
      <c r="J19" s="14">
        <v>12</v>
      </c>
      <c r="K19" s="14">
        <v>12</v>
      </c>
      <c r="L19" s="14">
        <v>12</v>
      </c>
      <c r="M19" s="14">
        <v>12</v>
      </c>
      <c r="N19" s="14">
        <v>12</v>
      </c>
      <c r="O19" s="14">
        <v>12</v>
      </c>
      <c r="P19" s="14">
        <v>12</v>
      </c>
      <c r="Q19" s="18"/>
      <c r="S19" s="18"/>
    </row>
    <row r="20" spans="1:19" ht="16.5" x14ac:dyDescent="0.35">
      <c r="A20" s="38" t="s">
        <v>24</v>
      </c>
      <c r="B20" s="14">
        <f>$R$25+($R$27*$R$26)</f>
        <v>12.592981524619201</v>
      </c>
      <c r="C20" s="14">
        <f t="shared" ref="C20:P20" si="2">$R$25+($R$27*$R$26)</f>
        <v>12.592981524619201</v>
      </c>
      <c r="D20" s="14">
        <f t="shared" si="2"/>
        <v>12.592981524619201</v>
      </c>
      <c r="E20" s="14">
        <f t="shared" si="2"/>
        <v>12.592981524619201</v>
      </c>
      <c r="F20" s="14">
        <f t="shared" si="2"/>
        <v>12.592981524619201</v>
      </c>
      <c r="G20" s="14">
        <f t="shared" si="2"/>
        <v>12.592981524619201</v>
      </c>
      <c r="H20" s="14">
        <f t="shared" si="2"/>
        <v>12.592981524619201</v>
      </c>
      <c r="I20" s="14">
        <f t="shared" si="2"/>
        <v>12.592981524619201</v>
      </c>
      <c r="J20" s="14">
        <f t="shared" si="2"/>
        <v>12.592981524619201</v>
      </c>
      <c r="K20" s="14">
        <f t="shared" si="2"/>
        <v>12.592981524619201</v>
      </c>
      <c r="L20" s="14">
        <f t="shared" si="2"/>
        <v>12.592981524619201</v>
      </c>
      <c r="M20" s="14">
        <f t="shared" si="2"/>
        <v>12.592981524619201</v>
      </c>
      <c r="N20" s="14">
        <f t="shared" si="2"/>
        <v>12.592981524619201</v>
      </c>
      <c r="O20" s="14">
        <f t="shared" si="2"/>
        <v>12.592981524619201</v>
      </c>
      <c r="P20" s="14">
        <f t="shared" si="2"/>
        <v>12.592981524619201</v>
      </c>
      <c r="Q20" s="40" t="s">
        <v>36</v>
      </c>
      <c r="R20" s="20"/>
      <c r="S20" s="18"/>
    </row>
    <row r="21" spans="1:19" ht="16.5" x14ac:dyDescent="0.35">
      <c r="A21" s="38" t="s">
        <v>25</v>
      </c>
      <c r="B21" s="14">
        <f>$R$25-($R$27*$R$26)</f>
        <v>12.411388491536318</v>
      </c>
      <c r="C21" s="14">
        <f t="shared" ref="C21:P21" si="3">$R$25-($R$27*$R$26)</f>
        <v>12.411388491536318</v>
      </c>
      <c r="D21" s="14">
        <f t="shared" si="3"/>
        <v>12.411388491536318</v>
      </c>
      <c r="E21" s="14">
        <f t="shared" si="3"/>
        <v>12.411388491536318</v>
      </c>
      <c r="F21" s="14">
        <f t="shared" si="3"/>
        <v>12.411388491536318</v>
      </c>
      <c r="G21" s="14">
        <f t="shared" si="3"/>
        <v>12.411388491536318</v>
      </c>
      <c r="H21" s="14">
        <f t="shared" si="3"/>
        <v>12.411388491536318</v>
      </c>
      <c r="I21" s="14">
        <f t="shared" si="3"/>
        <v>12.411388491536318</v>
      </c>
      <c r="J21" s="14">
        <f t="shared" si="3"/>
        <v>12.411388491536318</v>
      </c>
      <c r="K21" s="14">
        <f t="shared" si="3"/>
        <v>12.411388491536318</v>
      </c>
      <c r="L21" s="14">
        <f t="shared" si="3"/>
        <v>12.411388491536318</v>
      </c>
      <c r="M21" s="14">
        <f t="shared" si="3"/>
        <v>12.411388491536318</v>
      </c>
      <c r="N21" s="14">
        <f t="shared" si="3"/>
        <v>12.411388491536318</v>
      </c>
      <c r="O21" s="14">
        <f t="shared" si="3"/>
        <v>12.411388491536318</v>
      </c>
      <c r="P21" s="14">
        <f t="shared" si="3"/>
        <v>12.411388491536318</v>
      </c>
      <c r="Q21" s="40" t="s">
        <v>37</v>
      </c>
      <c r="R21" s="20"/>
      <c r="S21" s="18"/>
    </row>
    <row r="22" spans="1:19" ht="16.5" x14ac:dyDescent="0.45">
      <c r="A22" s="38" t="s">
        <v>38</v>
      </c>
      <c r="B22" s="14">
        <f>$R$26*$R$29</f>
        <v>0.16833062055435677</v>
      </c>
      <c r="C22" s="14">
        <f t="shared" ref="C22:P22" si="4">$R$26*$R$29</f>
        <v>0.16833062055435677</v>
      </c>
      <c r="D22" s="14">
        <f t="shared" si="4"/>
        <v>0.16833062055435677</v>
      </c>
      <c r="E22" s="14">
        <f t="shared" si="4"/>
        <v>0.16833062055435677</v>
      </c>
      <c r="F22" s="14">
        <f t="shared" si="4"/>
        <v>0.16833062055435677</v>
      </c>
      <c r="G22" s="14">
        <f t="shared" si="4"/>
        <v>0.16833062055435677</v>
      </c>
      <c r="H22" s="14">
        <f t="shared" si="4"/>
        <v>0.16833062055435677</v>
      </c>
      <c r="I22" s="14">
        <f t="shared" si="4"/>
        <v>0.16833062055435677</v>
      </c>
      <c r="J22" s="14">
        <f t="shared" si="4"/>
        <v>0.16833062055435677</v>
      </c>
      <c r="K22" s="14">
        <f t="shared" si="4"/>
        <v>0.16833062055435677</v>
      </c>
      <c r="L22" s="14">
        <f t="shared" si="4"/>
        <v>0.16833062055435677</v>
      </c>
      <c r="M22" s="14">
        <f t="shared" si="4"/>
        <v>0.16833062055435677</v>
      </c>
      <c r="N22" s="14">
        <f t="shared" si="4"/>
        <v>0.16833062055435677</v>
      </c>
      <c r="O22" s="14">
        <f t="shared" si="4"/>
        <v>0.16833062055435677</v>
      </c>
      <c r="P22" s="14">
        <f t="shared" si="4"/>
        <v>0.16833062055435677</v>
      </c>
      <c r="Q22" s="41" t="s">
        <v>39</v>
      </c>
      <c r="R22" s="20"/>
    </row>
    <row r="23" spans="1:19" ht="16.5" x14ac:dyDescent="0.45">
      <c r="A23" s="38" t="s">
        <v>40</v>
      </c>
      <c r="B23" s="14">
        <f>$R$26*$R$28</f>
        <v>3.5706495269105978E-2</v>
      </c>
      <c r="C23" s="14">
        <f t="shared" ref="C23:P23" si="5">$R$26*$R$28</f>
        <v>3.5706495269105978E-2</v>
      </c>
      <c r="D23" s="14">
        <f t="shared" si="5"/>
        <v>3.5706495269105978E-2</v>
      </c>
      <c r="E23" s="14">
        <f t="shared" si="5"/>
        <v>3.5706495269105978E-2</v>
      </c>
      <c r="F23" s="14">
        <f t="shared" si="5"/>
        <v>3.5706495269105978E-2</v>
      </c>
      <c r="G23" s="14">
        <f t="shared" si="5"/>
        <v>3.5706495269105978E-2</v>
      </c>
      <c r="H23" s="14">
        <f t="shared" si="5"/>
        <v>3.5706495269105978E-2</v>
      </c>
      <c r="I23" s="14">
        <f t="shared" si="5"/>
        <v>3.5706495269105978E-2</v>
      </c>
      <c r="J23" s="14">
        <f t="shared" si="5"/>
        <v>3.5706495269105978E-2</v>
      </c>
      <c r="K23" s="14">
        <f t="shared" si="5"/>
        <v>3.5706495269105978E-2</v>
      </c>
      <c r="L23" s="14">
        <f t="shared" si="5"/>
        <v>3.5706495269105978E-2</v>
      </c>
      <c r="M23" s="14">
        <f t="shared" si="5"/>
        <v>3.5706495269105978E-2</v>
      </c>
      <c r="N23" s="14">
        <f t="shared" si="5"/>
        <v>3.5706495269105978E-2</v>
      </c>
      <c r="O23" s="14">
        <f t="shared" si="5"/>
        <v>3.5706495269105978E-2</v>
      </c>
      <c r="P23" s="14">
        <f t="shared" si="5"/>
        <v>3.5706495269105978E-2</v>
      </c>
      <c r="Q23" s="41" t="s">
        <v>41</v>
      </c>
      <c r="R23" s="20"/>
    </row>
    <row r="24" spans="1:19" x14ac:dyDescent="0.35">
      <c r="D24" s="18"/>
      <c r="E24" s="18"/>
      <c r="K24" s="18"/>
      <c r="L24" s="18"/>
      <c r="M24" s="18"/>
      <c r="N24" s="18"/>
      <c r="O24" s="18"/>
      <c r="P24" s="18"/>
    </row>
    <row r="25" spans="1:19" x14ac:dyDescent="0.35">
      <c r="D25" s="18"/>
      <c r="E25" s="18"/>
      <c r="H25" s="18"/>
      <c r="K25" s="18"/>
      <c r="L25" s="18"/>
      <c r="M25" s="18"/>
      <c r="N25" s="18"/>
      <c r="O25" s="18"/>
      <c r="P25" s="18"/>
      <c r="Q25" s="22" t="s">
        <v>30</v>
      </c>
      <c r="R25" s="23">
        <f>AVERAGE(B16:P16)</f>
        <v>12.50218500807776</v>
      </c>
    </row>
    <row r="26" spans="1:19" x14ac:dyDescent="0.35"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2" t="s">
        <v>42</v>
      </c>
      <c r="R26" s="23">
        <f>AVERAGE(B17:P17)</f>
        <v>0.10201855791173138</v>
      </c>
    </row>
    <row r="27" spans="1:19" ht="15" x14ac:dyDescent="0.4"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5" t="s">
        <v>43</v>
      </c>
      <c r="R27" s="26">
        <v>0.89</v>
      </c>
    </row>
    <row r="28" spans="1:19" ht="15" x14ac:dyDescent="0.4"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5" t="s">
        <v>44</v>
      </c>
      <c r="R28" s="26">
        <v>0.35</v>
      </c>
      <c r="S28" s="18"/>
    </row>
    <row r="29" spans="1:19" ht="15" x14ac:dyDescent="0.4"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5" t="s">
        <v>45</v>
      </c>
      <c r="R29" s="26">
        <v>1.65</v>
      </c>
      <c r="S29" s="18"/>
    </row>
    <row r="30" spans="1:19" x14ac:dyDescent="0.35"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18"/>
      <c r="S30" s="18"/>
    </row>
    <row r="31" spans="1:19" x14ac:dyDescent="0.35">
      <c r="D31" s="18"/>
      <c r="E31" s="18"/>
      <c r="G31" s="18"/>
      <c r="H31" s="18"/>
      <c r="K31" s="18"/>
      <c r="L31" s="18"/>
      <c r="M31" s="18"/>
      <c r="N31" s="18"/>
      <c r="O31" s="18"/>
      <c r="P31" s="18"/>
      <c r="Q31" s="18"/>
      <c r="S31" s="18"/>
    </row>
    <row r="32" spans="1:19" x14ac:dyDescent="0.35">
      <c r="D32" s="18"/>
      <c r="E32" s="18"/>
      <c r="G32" s="18"/>
      <c r="H32" s="18"/>
      <c r="K32" s="18"/>
      <c r="L32" s="18"/>
      <c r="M32" s="18"/>
      <c r="N32" s="18"/>
      <c r="O32" s="18"/>
      <c r="P32" s="18"/>
      <c r="Q32" s="18"/>
      <c r="S32" s="18"/>
    </row>
    <row r="33" spans="17:17" x14ac:dyDescent="0.35">
      <c r="Q33" s="18"/>
    </row>
    <row r="34" spans="17:17" x14ac:dyDescent="0.35">
      <c r="Q34" s="18"/>
    </row>
  </sheetData>
  <mergeCells count="1">
    <mergeCell ref="A4:A15"/>
  </mergeCells>
  <printOptions horizontalCentered="1"/>
  <pageMargins left="0.25" right="0.25" top="0.75" bottom="0.75" header="0.3" footer="0.3"/>
  <pageSetup scale="8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A7427-6AE0-4872-A5A7-E42B22ED3FAA}">
  <sheetPr>
    <pageSetUpPr fitToPage="1"/>
  </sheetPr>
  <dimension ref="A2:U21"/>
  <sheetViews>
    <sheetView tabSelected="1" zoomScale="120" zoomScaleNormal="120" workbookViewId="0">
      <selection activeCell="Q26" sqref="Q26"/>
    </sheetView>
  </sheetViews>
  <sheetFormatPr defaultRowHeight="14.5" x14ac:dyDescent="0.35"/>
  <cols>
    <col min="1" max="1" width="11.26953125" customWidth="1"/>
    <col min="2" max="16" width="5.7265625" customWidth="1"/>
    <col min="17" max="17" width="7" customWidth="1"/>
    <col min="18" max="18" width="10.54296875" style="13" customWidth="1"/>
    <col min="19" max="33" width="5.7265625" customWidth="1"/>
  </cols>
  <sheetData>
    <row r="2" spans="1:21" x14ac:dyDescent="0.35">
      <c r="A2" s="11" t="s">
        <v>18</v>
      </c>
      <c r="B2" s="12">
        <v>1</v>
      </c>
      <c r="C2" s="12">
        <v>2</v>
      </c>
      <c r="D2" s="12">
        <v>3</v>
      </c>
      <c r="E2" s="12">
        <v>4</v>
      </c>
      <c r="F2" s="12">
        <v>5</v>
      </c>
      <c r="G2" s="12">
        <v>6</v>
      </c>
      <c r="H2" s="12">
        <v>7</v>
      </c>
      <c r="I2" s="12">
        <v>8</v>
      </c>
      <c r="J2" s="12">
        <v>9</v>
      </c>
      <c r="K2" s="12">
        <v>10</v>
      </c>
      <c r="L2" s="12">
        <v>11</v>
      </c>
      <c r="M2" s="12">
        <v>12</v>
      </c>
      <c r="N2" s="12">
        <v>13</v>
      </c>
      <c r="O2" s="12">
        <v>14</v>
      </c>
      <c r="P2" s="12">
        <v>15</v>
      </c>
    </row>
    <row r="3" spans="1:21" ht="4.5" customHeight="1" x14ac:dyDescent="0.35">
      <c r="A3" s="11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</row>
    <row r="4" spans="1:21" x14ac:dyDescent="0.35">
      <c r="A4" s="11" t="s">
        <v>19</v>
      </c>
      <c r="B4" s="14">
        <v>12.6</v>
      </c>
      <c r="C4" s="14">
        <v>12.69</v>
      </c>
      <c r="D4" s="14">
        <v>12.43</v>
      </c>
      <c r="E4" s="14">
        <v>12.51</v>
      </c>
      <c r="F4" s="14">
        <v>12.38</v>
      </c>
      <c r="G4" s="14">
        <v>12.68</v>
      </c>
      <c r="H4" s="14">
        <v>12.29</v>
      </c>
      <c r="I4" s="15">
        <v>12.69</v>
      </c>
      <c r="J4" s="15">
        <v>12.34</v>
      </c>
      <c r="K4" s="15">
        <v>12.29</v>
      </c>
      <c r="L4" s="15">
        <v>12.5</v>
      </c>
      <c r="M4" s="15">
        <v>12.44</v>
      </c>
      <c r="N4" s="15">
        <v>12.66</v>
      </c>
      <c r="O4" s="15">
        <v>12.54</v>
      </c>
      <c r="P4" s="15">
        <v>12.4</v>
      </c>
      <c r="R4" s="16"/>
    </row>
    <row r="5" spans="1:21" x14ac:dyDescent="0.35">
      <c r="A5" s="11" t="s">
        <v>21</v>
      </c>
      <c r="B5" s="14"/>
      <c r="C5" s="14">
        <f>ABS(C4-B4)</f>
        <v>8.9999999999999858E-2</v>
      </c>
      <c r="D5" s="14">
        <f>ABS(D4-C4)</f>
        <v>0.25999999999999979</v>
      </c>
      <c r="E5" s="14">
        <f t="shared" ref="E5:P5" si="0">ABS(E4-D4)</f>
        <v>8.0000000000000071E-2</v>
      </c>
      <c r="F5" s="14">
        <f t="shared" si="0"/>
        <v>0.12999999999999901</v>
      </c>
      <c r="G5" s="14">
        <f t="shared" si="0"/>
        <v>0.29999999999999893</v>
      </c>
      <c r="H5" s="14">
        <f t="shared" si="0"/>
        <v>0.39000000000000057</v>
      </c>
      <c r="I5" s="14">
        <f t="shared" si="0"/>
        <v>0.40000000000000036</v>
      </c>
      <c r="J5" s="14">
        <f t="shared" si="0"/>
        <v>0.34999999999999964</v>
      </c>
      <c r="K5" s="14">
        <f t="shared" si="0"/>
        <v>5.0000000000000711E-2</v>
      </c>
      <c r="L5" s="14">
        <f t="shared" si="0"/>
        <v>0.21000000000000085</v>
      </c>
      <c r="M5" s="14">
        <f t="shared" si="0"/>
        <v>6.0000000000000497E-2</v>
      </c>
      <c r="N5" s="14">
        <f t="shared" si="0"/>
        <v>0.22000000000000064</v>
      </c>
      <c r="O5" s="14">
        <f t="shared" si="0"/>
        <v>0.12000000000000099</v>
      </c>
      <c r="P5" s="14">
        <f t="shared" si="0"/>
        <v>0.13999999999999879</v>
      </c>
      <c r="R5" s="17"/>
      <c r="S5" s="18"/>
      <c r="T5" s="18"/>
      <c r="U5" s="18"/>
    </row>
    <row r="6" spans="1:21" x14ac:dyDescent="0.35">
      <c r="A6" s="11" t="s">
        <v>22</v>
      </c>
      <c r="B6" s="14">
        <v>13</v>
      </c>
      <c r="C6" s="14">
        <v>13</v>
      </c>
      <c r="D6" s="14">
        <v>13</v>
      </c>
      <c r="E6" s="14">
        <v>13</v>
      </c>
      <c r="F6" s="14">
        <v>13</v>
      </c>
      <c r="G6" s="14">
        <v>13</v>
      </c>
      <c r="H6" s="14">
        <v>13</v>
      </c>
      <c r="I6" s="14">
        <v>13</v>
      </c>
      <c r="J6" s="14">
        <v>13</v>
      </c>
      <c r="K6" s="14">
        <v>13</v>
      </c>
      <c r="L6" s="14">
        <v>13</v>
      </c>
      <c r="M6" s="14">
        <v>13</v>
      </c>
      <c r="N6" s="14">
        <v>13</v>
      </c>
      <c r="O6" s="14">
        <v>13</v>
      </c>
      <c r="P6" s="14">
        <v>13</v>
      </c>
      <c r="Q6" s="18"/>
      <c r="S6" s="18"/>
      <c r="T6" s="18"/>
      <c r="U6" s="18"/>
    </row>
    <row r="7" spans="1:21" x14ac:dyDescent="0.35">
      <c r="A7" s="11" t="s">
        <v>23</v>
      </c>
      <c r="B7" s="14">
        <v>12</v>
      </c>
      <c r="C7" s="14">
        <v>12</v>
      </c>
      <c r="D7" s="14">
        <v>12</v>
      </c>
      <c r="E7" s="14">
        <v>12</v>
      </c>
      <c r="F7" s="14">
        <v>12</v>
      </c>
      <c r="G7" s="14">
        <v>12</v>
      </c>
      <c r="H7" s="14">
        <v>12</v>
      </c>
      <c r="I7" s="14">
        <v>12</v>
      </c>
      <c r="J7" s="14">
        <v>12</v>
      </c>
      <c r="K7" s="14">
        <v>12</v>
      </c>
      <c r="L7" s="14">
        <v>12</v>
      </c>
      <c r="M7" s="14">
        <v>12</v>
      </c>
      <c r="N7" s="14">
        <v>12</v>
      </c>
      <c r="O7" s="14">
        <v>12</v>
      </c>
      <c r="P7" s="14">
        <v>12</v>
      </c>
      <c r="Q7" s="18"/>
      <c r="S7" s="18"/>
      <c r="T7" s="18"/>
      <c r="U7" s="18"/>
    </row>
    <row r="8" spans="1:21" ht="15" x14ac:dyDescent="0.35">
      <c r="A8" s="11" t="s">
        <v>24</v>
      </c>
      <c r="B8" s="14">
        <f>$R$13+($R$15*$R$14)</f>
        <v>13.027999999999999</v>
      </c>
      <c r="C8" s="14">
        <f t="shared" ref="C8:P8" si="1">$R$13+($R$15*$R$14)</f>
        <v>13.027999999999999</v>
      </c>
      <c r="D8" s="14">
        <f t="shared" si="1"/>
        <v>13.027999999999999</v>
      </c>
      <c r="E8" s="14">
        <f t="shared" si="1"/>
        <v>13.027999999999999</v>
      </c>
      <c r="F8" s="14">
        <f t="shared" si="1"/>
        <v>13.027999999999999</v>
      </c>
      <c r="G8" s="14">
        <f t="shared" si="1"/>
        <v>13.027999999999999</v>
      </c>
      <c r="H8" s="14">
        <f t="shared" si="1"/>
        <v>13.027999999999999</v>
      </c>
      <c r="I8" s="14">
        <f t="shared" si="1"/>
        <v>13.027999999999999</v>
      </c>
      <c r="J8" s="14">
        <f t="shared" si="1"/>
        <v>13.027999999999999</v>
      </c>
      <c r="K8" s="14">
        <f t="shared" si="1"/>
        <v>13.027999999999999</v>
      </c>
      <c r="L8" s="14">
        <f t="shared" si="1"/>
        <v>13.027999999999999</v>
      </c>
      <c r="M8" s="14">
        <f t="shared" si="1"/>
        <v>13.027999999999999</v>
      </c>
      <c r="N8" s="14">
        <f t="shared" si="1"/>
        <v>13.027999999999999</v>
      </c>
      <c r="O8" s="14">
        <f t="shared" si="1"/>
        <v>13.027999999999999</v>
      </c>
      <c r="P8" s="14">
        <f t="shared" si="1"/>
        <v>13.027999999999999</v>
      </c>
      <c r="Q8" s="111" t="s">
        <v>46</v>
      </c>
      <c r="R8" s="112"/>
      <c r="S8" s="18"/>
      <c r="T8" s="18"/>
      <c r="U8" s="18"/>
    </row>
    <row r="9" spans="1:21" ht="15" x14ac:dyDescent="0.35">
      <c r="A9" s="11" t="s">
        <v>25</v>
      </c>
      <c r="B9" s="14">
        <f>$R$13-($R$15*$R$14)</f>
        <v>11.963999999999999</v>
      </c>
      <c r="C9" s="14">
        <f t="shared" ref="C9:P9" si="2">$R$13-($R$15*$R$14)</f>
        <v>11.963999999999999</v>
      </c>
      <c r="D9" s="14">
        <f t="shared" si="2"/>
        <v>11.963999999999999</v>
      </c>
      <c r="E9" s="14">
        <f t="shared" si="2"/>
        <v>11.963999999999999</v>
      </c>
      <c r="F9" s="14">
        <f t="shared" si="2"/>
        <v>11.963999999999999</v>
      </c>
      <c r="G9" s="14">
        <f t="shared" si="2"/>
        <v>11.963999999999999</v>
      </c>
      <c r="H9" s="14">
        <f t="shared" si="2"/>
        <v>11.963999999999999</v>
      </c>
      <c r="I9" s="14">
        <f t="shared" si="2"/>
        <v>11.963999999999999</v>
      </c>
      <c r="J9" s="14">
        <f t="shared" si="2"/>
        <v>11.963999999999999</v>
      </c>
      <c r="K9" s="14">
        <f t="shared" si="2"/>
        <v>11.963999999999999</v>
      </c>
      <c r="L9" s="14">
        <f t="shared" si="2"/>
        <v>11.963999999999999</v>
      </c>
      <c r="M9" s="14">
        <f t="shared" si="2"/>
        <v>11.963999999999999</v>
      </c>
      <c r="N9" s="14">
        <f t="shared" si="2"/>
        <v>11.963999999999999</v>
      </c>
      <c r="O9" s="14">
        <f t="shared" si="2"/>
        <v>11.963999999999999</v>
      </c>
      <c r="P9" s="14">
        <f t="shared" si="2"/>
        <v>11.963999999999999</v>
      </c>
      <c r="Q9" s="111" t="s">
        <v>47</v>
      </c>
      <c r="R9" s="112"/>
      <c r="S9" s="18"/>
      <c r="T9" s="18"/>
      <c r="U9" s="18"/>
    </row>
    <row r="10" spans="1:21" ht="15" x14ac:dyDescent="0.4">
      <c r="A10" s="11" t="s">
        <v>48</v>
      </c>
      <c r="B10" s="14">
        <f>$R$16*$R$14</f>
        <v>0.65340000000000009</v>
      </c>
      <c r="C10" s="14">
        <f t="shared" ref="C10:P10" si="3">$R$16*$R$14</f>
        <v>0.65340000000000009</v>
      </c>
      <c r="D10" s="14">
        <f t="shared" si="3"/>
        <v>0.65340000000000009</v>
      </c>
      <c r="E10" s="14">
        <f t="shared" si="3"/>
        <v>0.65340000000000009</v>
      </c>
      <c r="F10" s="14">
        <f t="shared" si="3"/>
        <v>0.65340000000000009</v>
      </c>
      <c r="G10" s="14">
        <f t="shared" si="3"/>
        <v>0.65340000000000009</v>
      </c>
      <c r="H10" s="14">
        <f t="shared" si="3"/>
        <v>0.65340000000000009</v>
      </c>
      <c r="I10" s="14">
        <f t="shared" si="3"/>
        <v>0.65340000000000009</v>
      </c>
      <c r="J10" s="14">
        <f t="shared" si="3"/>
        <v>0.65340000000000009</v>
      </c>
      <c r="K10" s="14">
        <f t="shared" si="3"/>
        <v>0.65340000000000009</v>
      </c>
      <c r="L10" s="14">
        <f t="shared" si="3"/>
        <v>0.65340000000000009</v>
      </c>
      <c r="M10" s="14">
        <f t="shared" si="3"/>
        <v>0.65340000000000009</v>
      </c>
      <c r="N10" s="14">
        <f t="shared" si="3"/>
        <v>0.65340000000000009</v>
      </c>
      <c r="O10" s="14">
        <f t="shared" si="3"/>
        <v>0.65340000000000009</v>
      </c>
      <c r="P10" s="14">
        <f t="shared" si="3"/>
        <v>0.65340000000000009</v>
      </c>
      <c r="Q10" s="113" t="s">
        <v>49</v>
      </c>
      <c r="R10" s="114"/>
    </row>
    <row r="11" spans="1:21" ht="15" x14ac:dyDescent="0.4">
      <c r="A11" s="11" t="s">
        <v>50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13" t="s">
        <v>51</v>
      </c>
      <c r="R11" s="114"/>
    </row>
    <row r="12" spans="1:21" x14ac:dyDescent="0.35">
      <c r="D12" s="18"/>
      <c r="E12" s="18"/>
      <c r="K12" s="18"/>
      <c r="L12" s="18"/>
      <c r="M12" s="18"/>
      <c r="N12" s="18"/>
      <c r="O12" s="18"/>
      <c r="P12" s="18"/>
    </row>
    <row r="13" spans="1:21" x14ac:dyDescent="0.35">
      <c r="D13" s="18"/>
      <c r="E13" s="18"/>
      <c r="H13" s="18"/>
      <c r="K13" s="18"/>
      <c r="L13" s="18"/>
      <c r="M13" s="18"/>
      <c r="N13" s="18"/>
      <c r="O13" s="18"/>
      <c r="P13" s="18"/>
      <c r="Q13" s="22" t="s">
        <v>20</v>
      </c>
      <c r="R13" s="23">
        <f>AVERAGE(B4:P4)</f>
        <v>12.495999999999999</v>
      </c>
    </row>
    <row r="14" spans="1:21" x14ac:dyDescent="0.35"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2" t="s">
        <v>31</v>
      </c>
      <c r="R14" s="23">
        <f>AVERAGE(C5:P5)</f>
        <v>0.20000000000000004</v>
      </c>
    </row>
    <row r="15" spans="1:21" ht="15" x14ac:dyDescent="0.4"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5" t="s">
        <v>52</v>
      </c>
      <c r="R15" s="42">
        <v>2.66</v>
      </c>
    </row>
    <row r="16" spans="1:21" ht="15" x14ac:dyDescent="0.4"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5" t="s">
        <v>34</v>
      </c>
      <c r="R16" s="42">
        <v>3.2669999999999999</v>
      </c>
      <c r="S16" s="18"/>
      <c r="T16" s="18"/>
      <c r="U16" s="18"/>
    </row>
    <row r="17" spans="2:21" ht="15" x14ac:dyDescent="0.4"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5" t="s">
        <v>33</v>
      </c>
      <c r="R17" s="42">
        <v>0</v>
      </c>
      <c r="S17" s="18"/>
      <c r="T17" s="18"/>
      <c r="U17" s="18"/>
    </row>
    <row r="18" spans="2:21" x14ac:dyDescent="0.35">
      <c r="D18" s="18"/>
      <c r="E18" s="18"/>
      <c r="G18" s="18"/>
      <c r="H18" s="18"/>
      <c r="K18" s="18"/>
      <c r="L18" s="18"/>
      <c r="M18" s="18"/>
      <c r="N18" s="18"/>
      <c r="O18" s="18"/>
      <c r="P18" s="18"/>
      <c r="Q18" s="18"/>
      <c r="S18" s="18"/>
      <c r="T18" s="18"/>
      <c r="U18" s="18"/>
    </row>
    <row r="19" spans="2:21" x14ac:dyDescent="0.35">
      <c r="D19" s="18"/>
      <c r="E19" s="18"/>
      <c r="G19" s="18"/>
      <c r="H19" s="18"/>
      <c r="K19" s="18"/>
      <c r="L19" s="18"/>
      <c r="M19" s="18"/>
      <c r="N19" s="18"/>
      <c r="O19" s="18"/>
      <c r="P19" s="18"/>
      <c r="Q19" s="18"/>
      <c r="S19" s="18"/>
      <c r="T19" s="18"/>
      <c r="U19" s="18"/>
    </row>
    <row r="20" spans="2:21" x14ac:dyDescent="0.35">
      <c r="Q20" s="18"/>
    </row>
    <row r="21" spans="2:21" x14ac:dyDescent="0.35">
      <c r="Q21" s="18"/>
    </row>
  </sheetData>
  <mergeCells count="4">
    <mergeCell ref="Q8:R8"/>
    <mergeCell ref="Q9:R9"/>
    <mergeCell ref="Q10:R10"/>
    <mergeCell ref="Q11:R11"/>
  </mergeCells>
  <printOptions horizontalCentered="1"/>
  <pageMargins left="0.25" right="0.25" top="0.75" bottom="0.75" header="0.3" footer="0.3"/>
  <pageSetup scale="8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Control Chart Selection Process</vt:lpstr>
      <vt:lpstr>Table Of Control Chart Constant</vt:lpstr>
      <vt:lpstr>Xbar&amp;R</vt:lpstr>
      <vt:lpstr>Xbar&amp;s</vt:lpstr>
      <vt:lpstr>IXMR</vt:lpstr>
      <vt:lpstr>'Control Chart Selection Process'!Print_Area</vt:lpstr>
    </vt:vector>
  </TitlesOfParts>
  <Company>OhioStarForge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Harkins</dc:creator>
  <cp:lastModifiedBy>Divya Zindani</cp:lastModifiedBy>
  <cp:lastPrinted>2018-12-28T19:15:34Z</cp:lastPrinted>
  <dcterms:created xsi:type="dcterms:W3CDTF">2018-12-20T16:43:00Z</dcterms:created>
  <dcterms:modified xsi:type="dcterms:W3CDTF">2025-08-12T15:16:54Z</dcterms:modified>
</cp:coreProperties>
</file>